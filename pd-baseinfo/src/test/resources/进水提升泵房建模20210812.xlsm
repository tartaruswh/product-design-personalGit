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4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glen/Documents/bim-test/"/>
    </mc:Choice>
  </mc:AlternateContent>
  <xr:revisionPtr revIDLastSave="0" documentId="13_ncr:1_{9C1C99B7-C90A-534A-88EF-17D82E13084B}" xr6:coauthVersionLast="43" xr6:coauthVersionMax="43" xr10:uidLastSave="{00000000-0000-0000-0000-000000000000}"/>
  <bookViews>
    <workbookView xWindow="0" yWindow="500" windowWidth="33220" windowHeight="18680" tabRatio="819" xr2:uid="{00000000-000D-0000-FFFF-FFFF00000000}"/>
  </bookViews>
  <sheets>
    <sheet name="数学建模" sheetId="21" r:id="rId1"/>
    <sheet name="辅助-模块单元解耦" sheetId="23" r:id="rId2"/>
    <sheet name="辅助-型号" sheetId="24" r:id="rId3"/>
    <sheet name="辅助-输出功率" sheetId="25" r:id="rId4"/>
    <sheet name="辅助-内插法总变化系数" sheetId="26" r:id="rId5"/>
    <sheet name="辅助-碳钢钢管管径壁厚" sheetId="27" r:id="rId6"/>
    <sheet name="辅助-不锈钢管（曝气）管径壁厚" sheetId="28" r:id="rId7"/>
    <sheet name="辅助-A~G数值" sheetId="29" r:id="rId8"/>
    <sheet name="输入&amp;输出" sheetId="1" r:id="rId9"/>
    <sheet name="设备、材料清单" sheetId="10" r:id="rId10"/>
    <sheet name="结构清单" sheetId="2" r:id="rId11"/>
    <sheet name="电仪控清单" sheetId="9" r:id="rId12"/>
    <sheet name="液位控制说明" sheetId="15" r:id="rId13"/>
    <sheet name="基础数据1" sheetId="3" r:id="rId14"/>
    <sheet name="Sheet2" sheetId="18" r:id="rId15"/>
    <sheet name="管道流速" sheetId="20" r:id="rId16"/>
    <sheet name="Sheet1" sheetId="17" r:id="rId17"/>
    <sheet name="计算层" sheetId="11" r:id="rId18"/>
    <sheet name="变化系数" sheetId="16" r:id="rId19"/>
    <sheet name="进水管计算" sheetId="6" r:id="rId20"/>
  </sheets>
  <definedNames>
    <definedName name="_xlnm._FilterDatabase" localSheetId="13" hidden="1">基础数据1!$A$1:$A$84</definedName>
    <definedName name="壁厚">数学建模!$B$81</definedName>
    <definedName name="不锈钢曝气支管单位长度">数学建模!$B$194</definedName>
    <definedName name="超高h1">数学建模!$B$72</definedName>
    <definedName name="承压水头">数学建模!$B$171</definedName>
    <definedName name="池总高h5">数学建模!$B$76</definedName>
    <definedName name="池总宽">数学建模!$B$82</definedName>
    <definedName name="出水侧长边方向泥斗水平投影尺寸S">数学建模!$B$115</definedName>
    <definedName name="出水管管底与池底高差h17">数学建模!$B$108</definedName>
    <definedName name="出水管流量">数学建模!#REF!</definedName>
    <definedName name="出水渠长">数学建模!$B$84</definedName>
    <definedName name="出水堰堰后跌水高度h13">数学建模!$B$104</definedName>
    <definedName name="出水堰堰上水头h12">数学建模!$B$103</definedName>
    <definedName name="穿孔管长">数学建模!$B$195</definedName>
    <definedName name="传动装置效率">数学建模!$B$154</definedName>
    <definedName name="单池容积">数学建模!$B$86</definedName>
    <definedName name="单台风机需要风量">数学建模!$B$150</definedName>
    <definedName name="单延米曝气量">数学建模!$B$138</definedName>
    <definedName name="单组供气量">数学建模!$B$139</definedName>
    <definedName name="单组总宽度C">数学建模!$B$80</definedName>
    <definedName name="导图100000">#REF!</definedName>
    <definedName name="导图120000">#REF!</definedName>
    <definedName name="导图150000">#REF!</definedName>
    <definedName name="导图160000">#REF!</definedName>
    <definedName name="导图180000">#REF!</definedName>
    <definedName name="导图200000">#REF!</definedName>
    <definedName name="导图30000">#REF!</definedName>
    <definedName name="导图40000">#REF!</definedName>
    <definedName name="导图50000">#REF!</definedName>
    <definedName name="导图60000">#REF!</definedName>
    <definedName name="导图80000">#REF!</definedName>
    <definedName name="斗壁斜边_短边_与邻近池内壁夹角_池宽方向_α4">数学建模!$B$126</definedName>
    <definedName name="斗壁斜边_长边_与邻近池内壁夹角_池宽方向_α3">数学建模!$B$125</definedName>
    <definedName name="斗壁斜边与出水侧池内壁夹角_池长方向_α2">数学建模!$B$124</definedName>
    <definedName name="斗壁斜边与进水侧池内壁夹角_池长方向_α1">数学建模!$B$123</definedName>
    <definedName name="放空管90°弯头数量">数学建模!$B$186</definedName>
    <definedName name="放空管管径d4">数学建模!$B$184</definedName>
    <definedName name="放空管长度">数学建模!$B$185</definedName>
    <definedName name="放空管中心距池体短边外侧距离I">数学建模!$B$91</definedName>
    <definedName name="放空时间">数学建模!$B$183</definedName>
    <definedName name="风机效率">数学建模!$B$153</definedName>
    <definedName name="峰值流量水平流速v1">数学建模!$G$78</definedName>
    <definedName name="峰值流量停留时间t">数学建模!$G$80</definedName>
    <definedName name="浮渣区宽b2">数学建模!$B$78</definedName>
    <definedName name="隔墙低于液位距离h6">数学建模!$B$87</definedName>
    <definedName name="隔墙厚b3">数学建模!$B$79</definedName>
    <definedName name="估算功率">数学建模!$B$18</definedName>
    <definedName name="管路损失">数学建模!$B$151</definedName>
    <definedName name="过水孔高">数学建模!$B$32</definedName>
    <definedName name="过水孔宽">数学建模!$B$31</definedName>
    <definedName name="缓冲区底宽">数学建模!$B$121</definedName>
    <definedName name="缓冲区顶宽">数学建模!$B$122</definedName>
    <definedName name="缓冲区高h3">数学建模!$B$74</definedName>
    <definedName name="缓冲区截面积">数学建模!$B$127</definedName>
    <definedName name="缓冲区体积">数学建模!$B$128</definedName>
    <definedName name="集砂槽底宽">数学建模!$B$111</definedName>
    <definedName name="集砂槽顶宽">数学建模!$B$112</definedName>
    <definedName name="集砂槽高h4">数学建模!$B$75</definedName>
    <definedName name="集砂槽截面积">数学建模!$B$113</definedName>
    <definedName name="集砂槽容积">数学建模!$G$111</definedName>
    <definedName name="集砂槽长">数学建模!$B$118</definedName>
    <definedName name="集水池地面超高h3">数学建模!$B$24</definedName>
    <definedName name="集水池工作液面距离地面深度h4">数学建模!$B$25</definedName>
    <definedName name="集水池宽B">数学建模!$B$29</definedName>
    <definedName name="集水池面积">数学建模!$B$27</definedName>
    <definedName name="集水池深度H">数学建模!$B$26</definedName>
    <definedName name="集水池停留时间">数学建模!$B$20</definedName>
    <definedName name="集水池有效池容">数学建模!$B$21</definedName>
    <definedName name="集水池有效水深h1">数学建模!$B$22</definedName>
    <definedName name="集水池长L">数学建模!$B$28</definedName>
    <definedName name="进水侧长边方向泥斗水平投影尺寸R">数学建模!$B$114</definedName>
    <definedName name="进水闸门宽">数学建模!$B$167</definedName>
    <definedName name="空气扩散装置浸没水深h8">数学建模!$B$141</definedName>
    <definedName name="空气扩散装置距离池底以上高度">数学建模!$G$138</definedName>
    <definedName name="空气扩散装置距离有效水深以下高度">数学建模!$B$140</definedName>
    <definedName name="邻近闸门进水孔洞间水平净距M">数学建模!$B$95</definedName>
    <definedName name="流量10000">'辅助-型号'!$B$2:$B$4</definedName>
    <definedName name="流量100000">'辅助-型号'!$T$2:$T$4</definedName>
    <definedName name="流量110000">'辅助-型号'!$U$2:$U$4</definedName>
    <definedName name="流量120000">'辅助-型号'!$V$2:$V$4</definedName>
    <definedName name="流量130000">'辅助-型号'!$W$2:$W$4</definedName>
    <definedName name="流量140000">'辅助-型号'!$X$2:$X$4</definedName>
    <definedName name="流量15000">'辅助-型号'!$C$2:$C$4</definedName>
    <definedName name="流量150000">'辅助-型号'!$Y$2:$Y$4</definedName>
    <definedName name="流量160000">'辅助-型号'!$Z$2:$Z$4</definedName>
    <definedName name="流量170000">'辅助-型号'!$AA$2:$AA$4</definedName>
    <definedName name="流量180000">'辅助-型号'!$AB$2:$AB$4</definedName>
    <definedName name="流量190000">'辅助-型号'!$AC$2:$AC$4</definedName>
    <definedName name="流量20000">'辅助-型号'!$D$2:$D$4</definedName>
    <definedName name="流量200000">'辅助-型号'!$AD$2:$AD$4</definedName>
    <definedName name="流量25000">'辅助-型号'!$E$2:$E$4</definedName>
    <definedName name="流量30000">'辅助-型号'!$F$2:$F$4</definedName>
    <definedName name="流量35000">'辅助-型号'!$G$2:$G$4</definedName>
    <definedName name="流量40000">'辅助-型号'!$H$2:$H$4</definedName>
    <definedName name="流量45000">'辅助-型号'!$I$2:$I$4</definedName>
    <definedName name="流量50000">'辅助-型号'!$J$2:$J$4</definedName>
    <definedName name="流量55000">'辅助-型号'!$K$2:$K$4</definedName>
    <definedName name="流量60000">'辅助-型号'!$L$2:$L$4</definedName>
    <definedName name="流量65000">'辅助-型号'!$M$2:$M$4</definedName>
    <definedName name="流量70000">'辅助-型号'!$N$2:$N$4</definedName>
    <definedName name="流量75000">'辅助-型号'!$O$2:$O$4</definedName>
    <definedName name="流量80000">'辅助-型号'!$P$2:$P$4</definedName>
    <definedName name="流量85000">'辅助-型号'!$Q$2:$Q$4</definedName>
    <definedName name="流量90000">'辅助-型号'!$R$2:$R$4</definedName>
    <definedName name="流量95000">'辅助-型号'!$S$2:$S$4</definedName>
    <definedName name="螺旋直径">数学建模!$B$161</definedName>
    <definedName name="落砂高度">数学建模!$B$164</definedName>
    <definedName name="门体超高">数学建模!$B$169</definedName>
    <definedName name="门体高">数学建模!$B$170</definedName>
    <definedName name="模块型号">数学建模!$A$240</definedName>
    <definedName name="排砂管90°弯头数量">数学建模!$B$182</definedName>
    <definedName name="排砂管管径d3">数学建模!$B$180</definedName>
    <definedName name="排砂管长度">数学建模!$B$181</definedName>
    <definedName name="排砂时间">数学建模!$B$134</definedName>
    <definedName name="排砂周期">数学建模!$B$132</definedName>
    <definedName name="排渣非撇渣渠顶与池内水位高差h15">数学建模!$B$106</definedName>
    <definedName name="排渣管90°弯头数量">数学建模!$B$179</definedName>
    <definedName name="排渣管管径d2">数学建模!$B$177</definedName>
    <definedName name="排渣管长度">数学建模!$B$178</definedName>
    <definedName name="排渣撇渣渠顶与池内水位高差h14">数学建模!$B$105</definedName>
    <definedName name="排渣渠底部与池内水位高差h16">数学建模!$B$107</definedName>
    <definedName name="平均流量水平流速v2">数学建模!$G$79</definedName>
    <definedName name="平均日流量">数学建模!$B$5</definedName>
    <definedName name="曝气沉砂池导图">INDIRECT("导图"&amp;数学建模!$B$4)</definedName>
    <definedName name="曝气风机备用数量">数学建模!$B$149</definedName>
    <definedName name="曝气风机工作数量">数学建模!$B$148</definedName>
    <definedName name="曝气风机功率">数学建模!$B$155</definedName>
    <definedName name="曝气干管90°弯头数量">数学建模!$B$189</definedName>
    <definedName name="曝气干管管径d5">数学建模!$B$187</definedName>
    <definedName name="曝气干管立管中心距池顶面距离J">数学建模!$B$92</definedName>
    <definedName name="曝气干管立管中心距闸门迎水外侧距离H">数学建模!$B$90</definedName>
    <definedName name="曝气干管立管中心距闸前进水渠池壁外侧距离L">数学建模!$B$94</definedName>
    <definedName name="曝气干管末端法兰盘与曝气管管廊末端内墙距离U">数学建模!$B$99</definedName>
    <definedName name="曝气干管长度">数学建模!$B$188</definedName>
    <definedName name="曝气管管廊末端内墙与出水堰迎水侧外墙距离V">数学建模!$B$100</definedName>
    <definedName name="曝气管中心距所在管廊墙内侧距离K">数学建模!$B$93</definedName>
    <definedName name="曝气支管管径d6">数学建模!$B$190</definedName>
    <definedName name="曝气支管设置间距">数学建模!$B$191</definedName>
    <definedName name="曝气支管数量">数学建模!$B$192</definedName>
    <definedName name="气水比">数学建模!$B$143</definedName>
    <definedName name="砂斗壁斜坡_短边_底距离斗底方槽近侧距离F">数学建模!$B$116</definedName>
    <definedName name="砂斗壁斜坡_长边_底距栅区内隔墙外侧距离D">数学建模!$B$117</definedName>
    <definedName name="砂水分离器备用数量">数学建模!$B$166</definedName>
    <definedName name="砂水分离器工作数量">数学建模!$B$165</definedName>
    <definedName name="砂水分离器功率">数学建模!$B$163</definedName>
    <definedName name="砂水分离器实际最小处理能力">数学建模!$B$135</definedName>
    <definedName name="砂水分离器转速">数学建模!$B$162</definedName>
    <definedName name="砂水分离器最大处理能力">数学建模!$B$160</definedName>
    <definedName name="砂水分离器最小处理能力">数学建模!$B$159</definedName>
    <definedName name="设计流量Q">数学建模!$B$4</definedName>
    <definedName name="设计压力">数学建模!$B$152</definedName>
    <definedName name="设计液位">数学建模!$B$7</definedName>
    <definedName name="实际沉砂量">数学建模!$B$133</definedName>
    <definedName name="水泵保护液位h2">数学建模!$B$23</definedName>
    <definedName name="水泵备用数量">数学建模!$B$15</definedName>
    <definedName name="水泵出水管管径">数学建模!$B$175</definedName>
    <definedName name="水泵电机功率">数学建模!$B$19</definedName>
    <definedName name="水泵流量">数学建模!$B$16</definedName>
    <definedName name="水泵效率">数学建模!$B$17</definedName>
    <definedName name="水泵运行数量">数学建模!$B$14</definedName>
    <definedName name="碳钢曝气支管单位长度">数学建模!$B$193</definedName>
    <definedName name="提砂风机风量">数学建模!$B$156</definedName>
    <definedName name="提砂风机风压">数学建模!$B$157</definedName>
    <definedName name="提砂风机功率">数学建模!$B$158</definedName>
    <definedName name="提升后液位">数学建模!$B$8</definedName>
    <definedName name="污水沉砂量">数学建模!$B$131</definedName>
    <definedName name="吸砂机电机功率">数学建模!$B$147</definedName>
    <definedName name="吸砂桥外侧单侧预埋件数量_1N">数学建模!$B$96</definedName>
    <definedName name="型号">数学建模!$C$11</definedName>
    <definedName name="旋流区宽B">数学建模!$B$77</definedName>
    <definedName name="扬程">数学建模!$B$9</definedName>
    <definedName name="有效池长A">数学建模!$B$83</definedName>
    <definedName name="有效水深h2">数学建模!$B$73</definedName>
    <definedName name="右泵室泵位">数学建模!$B$34</definedName>
    <definedName name="运砂小车容积">数学建模!$B$172</definedName>
    <definedName name="闸后进水渠道宽度尺寸G">数学建模!$B$89</definedName>
    <definedName name="闸后进水渠道内超高h11">数学建模!$B$102</definedName>
    <definedName name="闸后进水渠道内水深h10">数学建模!$B$168</definedName>
    <definedName name="闸后进水渠道水面与池顶板下底高差h9">数学建模!$B$101</definedName>
    <definedName name="闸后进水渠道长度尺寸P">数学建模!$B$97</definedName>
    <definedName name="闸门数量">数学建模!$B$30</definedName>
    <definedName name="总变化系数Kz">数学建模!$B$6</definedName>
    <definedName name="总池长">数学建模!$B$85</definedName>
    <definedName name="总供气量">数学建模!$B$142</definedName>
    <definedName name="最远端曝气竖支管与曝气干管末端法兰盘外侧距离T">数学建模!$B$98</definedName>
    <definedName name="最终型号">数学建模!$B$11</definedName>
    <definedName name="左泵室泵位">数学建模!$B$33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  <c r="B25" i="21"/>
  <c r="B9" i="21"/>
  <c r="H64" i="29" l="1"/>
  <c r="H63" i="29"/>
  <c r="H62" i="29"/>
  <c r="H61" i="29"/>
  <c r="L60" i="29"/>
  <c r="H60" i="29"/>
  <c r="L59" i="29"/>
  <c r="H59" i="29"/>
  <c r="L58" i="29"/>
  <c r="H58" i="29"/>
  <c r="L57" i="29"/>
  <c r="H57" i="29"/>
  <c r="L56" i="29"/>
  <c r="H56" i="29"/>
  <c r="L55" i="29"/>
  <c r="H55" i="29"/>
  <c r="L54" i="29"/>
  <c r="H54" i="29"/>
  <c r="D54" i="29"/>
  <c r="L53" i="29"/>
  <c r="H53" i="29"/>
  <c r="D53" i="29"/>
  <c r="L52" i="29"/>
  <c r="H52" i="29"/>
  <c r="D52" i="29"/>
  <c r="L51" i="29"/>
  <c r="H51" i="29"/>
  <c r="D51" i="29"/>
  <c r="L50" i="29"/>
  <c r="H50" i="29"/>
  <c r="D50" i="29"/>
  <c r="X49" i="29"/>
  <c r="T49" i="29"/>
  <c r="P49" i="29"/>
  <c r="L49" i="29"/>
  <c r="H49" i="29"/>
  <c r="D49" i="29"/>
  <c r="X48" i="29"/>
  <c r="T48" i="29"/>
  <c r="P48" i="29"/>
  <c r="L48" i="29"/>
  <c r="H48" i="29"/>
  <c r="D48" i="29"/>
  <c r="X47" i="29"/>
  <c r="T47" i="29"/>
  <c r="P47" i="29"/>
  <c r="L47" i="29"/>
  <c r="H47" i="29"/>
  <c r="D47" i="29"/>
  <c r="X46" i="29"/>
  <c r="T46" i="29"/>
  <c r="P46" i="29"/>
  <c r="L46" i="29"/>
  <c r="H46" i="29"/>
  <c r="D46" i="29"/>
  <c r="X45" i="29"/>
  <c r="T45" i="29"/>
  <c r="P45" i="29"/>
  <c r="L45" i="29"/>
  <c r="H45" i="29"/>
  <c r="D45" i="29"/>
  <c r="X44" i="29"/>
  <c r="T44" i="29"/>
  <c r="P44" i="29"/>
  <c r="L44" i="29"/>
  <c r="H44" i="29"/>
  <c r="D44" i="29"/>
  <c r="X43" i="29"/>
  <c r="T43" i="29"/>
  <c r="P43" i="29"/>
  <c r="L43" i="29"/>
  <c r="H43" i="29"/>
  <c r="D43" i="29"/>
  <c r="X42" i="29"/>
  <c r="T42" i="29"/>
  <c r="P42" i="29"/>
  <c r="L42" i="29"/>
  <c r="H42" i="29"/>
  <c r="D42" i="29"/>
  <c r="X41" i="29"/>
  <c r="T41" i="29"/>
  <c r="P41" i="29"/>
  <c r="L41" i="29"/>
  <c r="H41" i="29"/>
  <c r="D41" i="29"/>
  <c r="X40" i="29"/>
  <c r="T40" i="29"/>
  <c r="P40" i="29"/>
  <c r="L40" i="29"/>
  <c r="H40" i="29"/>
  <c r="D40" i="29"/>
  <c r="X39" i="29"/>
  <c r="T39" i="29"/>
  <c r="P39" i="29"/>
  <c r="L39" i="29"/>
  <c r="H39" i="29"/>
  <c r="D39" i="29"/>
  <c r="X38" i="29"/>
  <c r="T38" i="29"/>
  <c r="P38" i="29"/>
  <c r="L38" i="29"/>
  <c r="H38" i="29"/>
  <c r="D38" i="29"/>
  <c r="X37" i="29"/>
  <c r="T37" i="29"/>
  <c r="P37" i="29"/>
  <c r="L37" i="29"/>
  <c r="H37" i="29"/>
  <c r="D37" i="29"/>
  <c r="X36" i="29"/>
  <c r="T36" i="29"/>
  <c r="P36" i="29"/>
  <c r="L36" i="29"/>
  <c r="H36" i="29"/>
  <c r="D36" i="29"/>
  <c r="X35" i="29"/>
  <c r="T35" i="29"/>
  <c r="P35" i="29"/>
  <c r="L35" i="29"/>
  <c r="H35" i="29"/>
  <c r="D35" i="29"/>
  <c r="X34" i="29"/>
  <c r="T34" i="29"/>
  <c r="P34" i="29"/>
  <c r="L34" i="29"/>
  <c r="H34" i="29"/>
  <c r="D34" i="29"/>
  <c r="X33" i="29"/>
  <c r="T33" i="29"/>
  <c r="P33" i="29"/>
  <c r="L33" i="29"/>
  <c r="H33" i="29"/>
  <c r="D33" i="29"/>
  <c r="X32" i="29"/>
  <c r="T32" i="29"/>
  <c r="P32" i="29"/>
  <c r="L32" i="29"/>
  <c r="H32" i="29"/>
  <c r="D32" i="29"/>
  <c r="X31" i="29"/>
  <c r="T31" i="29"/>
  <c r="P31" i="29"/>
  <c r="L31" i="29"/>
  <c r="H31" i="29"/>
  <c r="D31" i="29"/>
  <c r="X30" i="29"/>
  <c r="T30" i="29"/>
  <c r="P30" i="29"/>
  <c r="L30" i="29"/>
  <c r="H30" i="29"/>
  <c r="D30" i="29"/>
  <c r="X29" i="29"/>
  <c r="T29" i="29"/>
  <c r="P29" i="29"/>
  <c r="L29" i="29"/>
  <c r="H29" i="29"/>
  <c r="D29" i="29"/>
  <c r="X28" i="29"/>
  <c r="T28" i="29"/>
  <c r="P28" i="29"/>
  <c r="L28" i="29"/>
  <c r="H28" i="29"/>
  <c r="D28" i="29"/>
  <c r="X27" i="29"/>
  <c r="T27" i="29"/>
  <c r="P27" i="29"/>
  <c r="L27" i="29"/>
  <c r="H27" i="29"/>
  <c r="D27" i="29"/>
  <c r="X26" i="29"/>
  <c r="T26" i="29"/>
  <c r="P26" i="29"/>
  <c r="L26" i="29"/>
  <c r="H26" i="29"/>
  <c r="D26" i="29"/>
  <c r="X25" i="29"/>
  <c r="T25" i="29"/>
  <c r="P25" i="29"/>
  <c r="L25" i="29"/>
  <c r="H25" i="29"/>
  <c r="D25" i="29"/>
  <c r="X24" i="29"/>
  <c r="T24" i="29"/>
  <c r="P24" i="29"/>
  <c r="L24" i="29"/>
  <c r="H24" i="29"/>
  <c r="D24" i="29"/>
  <c r="X23" i="29"/>
  <c r="T23" i="29"/>
  <c r="P23" i="29"/>
  <c r="L23" i="29"/>
  <c r="H23" i="29"/>
  <c r="D23" i="29"/>
  <c r="X22" i="29"/>
  <c r="T22" i="29"/>
  <c r="P22" i="29"/>
  <c r="L22" i="29"/>
  <c r="H22" i="29"/>
  <c r="D22" i="29"/>
  <c r="X21" i="29"/>
  <c r="T21" i="29"/>
  <c r="P21" i="29"/>
  <c r="L21" i="29"/>
  <c r="H21" i="29"/>
  <c r="D21" i="29"/>
  <c r="X20" i="29"/>
  <c r="T20" i="29"/>
  <c r="P20" i="29"/>
  <c r="L20" i="29"/>
  <c r="H20" i="29"/>
  <c r="D20" i="29"/>
  <c r="X19" i="29"/>
  <c r="T19" i="29"/>
  <c r="P19" i="29"/>
  <c r="L19" i="29"/>
  <c r="H19" i="29"/>
  <c r="D19" i="29"/>
  <c r="X18" i="29"/>
  <c r="T18" i="29"/>
  <c r="P18" i="29"/>
  <c r="L18" i="29"/>
  <c r="H18" i="29"/>
  <c r="D18" i="29"/>
  <c r="X17" i="29"/>
  <c r="T17" i="29"/>
  <c r="P17" i="29"/>
  <c r="L17" i="29"/>
  <c r="H17" i="29"/>
  <c r="D17" i="29"/>
  <c r="X16" i="29"/>
  <c r="T16" i="29"/>
  <c r="P16" i="29"/>
  <c r="L16" i="29"/>
  <c r="H16" i="29"/>
  <c r="D16" i="29"/>
  <c r="X15" i="29"/>
  <c r="T15" i="29"/>
  <c r="P15" i="29"/>
  <c r="L15" i="29"/>
  <c r="H15" i="29"/>
  <c r="D15" i="29"/>
  <c r="X14" i="29"/>
  <c r="T14" i="29"/>
  <c r="P14" i="29"/>
  <c r="L14" i="29"/>
  <c r="H14" i="29"/>
  <c r="D14" i="29"/>
  <c r="X13" i="29"/>
  <c r="T13" i="29"/>
  <c r="P13" i="29"/>
  <c r="L13" i="29"/>
  <c r="H13" i="29"/>
  <c r="D13" i="29"/>
  <c r="X12" i="29"/>
  <c r="T12" i="29"/>
  <c r="P12" i="29"/>
  <c r="L12" i="29"/>
  <c r="H12" i="29"/>
  <c r="D12" i="29"/>
  <c r="X11" i="29"/>
  <c r="T11" i="29"/>
  <c r="P11" i="29"/>
  <c r="L11" i="29"/>
  <c r="H11" i="29"/>
  <c r="D11" i="29"/>
  <c r="X10" i="29"/>
  <c r="T10" i="29"/>
  <c r="P10" i="29"/>
  <c r="L10" i="29"/>
  <c r="H10" i="29"/>
  <c r="D10" i="29"/>
  <c r="X9" i="29"/>
  <c r="T9" i="29"/>
  <c r="P9" i="29"/>
  <c r="L9" i="29"/>
  <c r="H9" i="29"/>
  <c r="D9" i="29"/>
  <c r="X8" i="29"/>
  <c r="T8" i="29"/>
  <c r="P8" i="29"/>
  <c r="L8" i="29"/>
  <c r="H8" i="29"/>
  <c r="D8" i="29"/>
  <c r="X7" i="29"/>
  <c r="T7" i="29"/>
  <c r="P7" i="29"/>
  <c r="L7" i="29"/>
  <c r="H7" i="29"/>
  <c r="D7" i="29"/>
  <c r="X6" i="29"/>
  <c r="T6" i="29"/>
  <c r="P6" i="29"/>
  <c r="L6" i="29"/>
  <c r="H6" i="29"/>
  <c r="D6" i="29"/>
  <c r="X5" i="29"/>
  <c r="T5" i="29"/>
  <c r="P5" i="29"/>
  <c r="L5" i="29"/>
  <c r="H5" i="29"/>
  <c r="D5" i="29"/>
  <c r="D2" i="23" l="1"/>
  <c r="B3" i="24" s="1"/>
  <c r="E2" i="23"/>
  <c r="B4" i="24" s="1"/>
  <c r="F2" i="23"/>
  <c r="D2" i="24" s="1"/>
  <c r="C2" i="24" s="1"/>
  <c r="G2" i="23"/>
  <c r="D3" i="24" s="1"/>
  <c r="C3" i="24" s="1"/>
  <c r="H2" i="23"/>
  <c r="D4" i="24" s="1"/>
  <c r="C4" i="24" s="1"/>
  <c r="I2" i="23"/>
  <c r="F2" i="24" s="1"/>
  <c r="E2" i="24" s="1"/>
  <c r="J2" i="23"/>
  <c r="F3" i="24" s="1"/>
  <c r="E3" i="24" s="1"/>
  <c r="K2" i="23"/>
  <c r="F4" i="24" s="1"/>
  <c r="E4" i="24" s="1"/>
  <c r="L2" i="23"/>
  <c r="M2" i="23"/>
  <c r="H3" i="24" s="1"/>
  <c r="G3" i="24" s="1"/>
  <c r="N2" i="23"/>
  <c r="O2" i="23"/>
  <c r="J2" i="24" s="1"/>
  <c r="I2" i="24" s="1"/>
  <c r="P2" i="23"/>
  <c r="Q2" i="23"/>
  <c r="J4" i="24" s="1"/>
  <c r="I4" i="24" s="1"/>
  <c r="R2" i="23"/>
  <c r="S2" i="23"/>
  <c r="T2" i="23"/>
  <c r="U2" i="23"/>
  <c r="N2" i="24" s="1"/>
  <c r="M2" i="24" s="1"/>
  <c r="V2" i="23"/>
  <c r="N3" i="24" s="1"/>
  <c r="M3" i="24" s="1"/>
  <c r="W2" i="23"/>
  <c r="N4" i="24" s="1"/>
  <c r="M4" i="24" s="1"/>
  <c r="X2" i="23"/>
  <c r="Y2" i="23"/>
  <c r="Z2" i="23"/>
  <c r="AA2" i="23"/>
  <c r="R2" i="24" s="1"/>
  <c r="Q2" i="24" s="1"/>
  <c r="AB2" i="23"/>
  <c r="R3" i="24" s="1"/>
  <c r="Q3" i="24" s="1"/>
  <c r="AC2" i="23"/>
  <c r="R4" i="24" s="1"/>
  <c r="Q4" i="24" s="1"/>
  <c r="AD2" i="23"/>
  <c r="AE2" i="23"/>
  <c r="T3" i="24" s="1"/>
  <c r="AF2" i="23"/>
  <c r="AG2" i="23"/>
  <c r="U2" i="24" s="1"/>
  <c r="AH2" i="23"/>
  <c r="U3" i="24" s="1"/>
  <c r="AI2" i="23"/>
  <c r="U4" i="24" s="1"/>
  <c r="AJ2" i="23"/>
  <c r="AK2" i="23"/>
  <c r="V3" i="24" s="1"/>
  <c r="AL2" i="23"/>
  <c r="AM2" i="23"/>
  <c r="W2" i="24" s="1"/>
  <c r="AN2" i="23"/>
  <c r="W3" i="24" s="1"/>
  <c r="AO2" i="23"/>
  <c r="W4" i="24" s="1"/>
  <c r="AP2" i="23"/>
  <c r="X2" i="24" s="1"/>
  <c r="AQ2" i="23"/>
  <c r="X3" i="24" s="1"/>
  <c r="AR2" i="23"/>
  <c r="X4" i="24" s="1"/>
  <c r="AS2" i="23"/>
  <c r="AT2" i="23"/>
  <c r="Y3" i="24" s="1"/>
  <c r="AU2" i="23"/>
  <c r="AV2" i="23"/>
  <c r="AW2" i="23"/>
  <c r="AX2" i="23"/>
  <c r="AY2" i="23"/>
  <c r="AA2" i="24" s="1"/>
  <c r="AZ2" i="23"/>
  <c r="AA3" i="24" s="1"/>
  <c r="BA2" i="23"/>
  <c r="AA4" i="24" s="1"/>
  <c r="BB2" i="23"/>
  <c r="AB2" i="24" s="1"/>
  <c r="BC2" i="23"/>
  <c r="AB3" i="24" s="1"/>
  <c r="BD2" i="23"/>
  <c r="AB4" i="24" s="1"/>
  <c r="BE2" i="23"/>
  <c r="AC2" i="24" s="1"/>
  <c r="BF2" i="23"/>
  <c r="AC3" i="24" s="1"/>
  <c r="BG2" i="23"/>
  <c r="AC4" i="24" s="1"/>
  <c r="BH2" i="23"/>
  <c r="BI2" i="23"/>
  <c r="AD3" i="24" s="1"/>
  <c r="BJ2" i="23"/>
  <c r="C2" i="23"/>
  <c r="B2" i="24" s="1"/>
  <c r="BJ40" i="23"/>
  <c r="BI40" i="23"/>
  <c r="BH40" i="23"/>
  <c r="AX40" i="23"/>
  <c r="AW40" i="23"/>
  <c r="AV40" i="23"/>
  <c r="BJ39" i="23"/>
  <c r="BI39" i="23"/>
  <c r="BH39" i="23"/>
  <c r="AX39" i="23"/>
  <c r="AW39" i="23"/>
  <c r="AV39" i="23"/>
  <c r="BJ28" i="23"/>
  <c r="BI28" i="23"/>
  <c r="BH28" i="23"/>
  <c r="AX28" i="23"/>
  <c r="AW28" i="23"/>
  <c r="AV28" i="23"/>
  <c r="AU28" i="23"/>
  <c r="AT28" i="23"/>
  <c r="AL28" i="23"/>
  <c r="AK28" i="23"/>
  <c r="AJ28" i="23"/>
  <c r="AF28" i="23"/>
  <c r="AE28" i="23"/>
  <c r="AD28" i="23"/>
  <c r="Z28" i="23"/>
  <c r="Y28" i="23"/>
  <c r="X28" i="23"/>
  <c r="T28" i="23"/>
  <c r="S28" i="23"/>
  <c r="R28" i="23"/>
  <c r="Q28" i="23"/>
  <c r="P28" i="23"/>
  <c r="O28" i="23"/>
  <c r="N28" i="23"/>
  <c r="M28" i="23"/>
  <c r="L28" i="23"/>
  <c r="K28" i="23"/>
  <c r="BJ27" i="23"/>
  <c r="BI27" i="23"/>
  <c r="BH27" i="23"/>
  <c r="AX27" i="23"/>
  <c r="AW27" i="23"/>
  <c r="AV27" i="23"/>
  <c r="AU27" i="23"/>
  <c r="AT27" i="23"/>
  <c r="AL27" i="23"/>
  <c r="AK27" i="23"/>
  <c r="AJ27" i="23"/>
  <c r="AF27" i="23"/>
  <c r="AE27" i="23"/>
  <c r="AD27" i="23"/>
  <c r="Z27" i="23"/>
  <c r="Y27" i="23"/>
  <c r="X27" i="23"/>
  <c r="T27" i="23"/>
  <c r="S27" i="23"/>
  <c r="R27" i="23"/>
  <c r="Q27" i="23"/>
  <c r="P27" i="23"/>
  <c r="O27" i="23"/>
  <c r="N27" i="23"/>
  <c r="M27" i="23"/>
  <c r="L27" i="23"/>
  <c r="K27" i="23"/>
  <c r="BJ22" i="23"/>
  <c r="BJ23" i="23" s="1"/>
  <c r="BI22" i="23"/>
  <c r="BI23" i="23" s="1"/>
  <c r="BH22" i="23"/>
  <c r="BH23" i="23" s="1"/>
  <c r="AX22" i="23"/>
  <c r="AX23" i="23" s="1"/>
  <c r="AW22" i="23"/>
  <c r="AW23" i="23" s="1"/>
  <c r="AV22" i="23"/>
  <c r="AV23" i="23" s="1"/>
  <c r="AU22" i="23"/>
  <c r="AU23" i="23" s="1"/>
  <c r="AT22" i="23"/>
  <c r="AT23" i="23" s="1"/>
  <c r="AL22" i="23"/>
  <c r="AL23" i="23" s="1"/>
  <c r="AK22" i="23"/>
  <c r="AK23" i="23" s="1"/>
  <c r="AJ22" i="23"/>
  <c r="AJ23" i="23" s="1"/>
  <c r="AF22" i="23"/>
  <c r="AF23" i="23" s="1"/>
  <c r="AE22" i="23"/>
  <c r="AE23" i="23" s="1"/>
  <c r="AD22" i="23"/>
  <c r="AD23" i="23" s="1"/>
  <c r="Z22" i="23"/>
  <c r="Z23" i="23" s="1"/>
  <c r="Y22" i="23"/>
  <c r="Y23" i="23" s="1"/>
  <c r="X22" i="23"/>
  <c r="X23" i="23" s="1"/>
  <c r="T22" i="23"/>
  <c r="T23" i="23" s="1"/>
  <c r="S22" i="23"/>
  <c r="S23" i="23" s="1"/>
  <c r="R22" i="23"/>
  <c r="R23" i="23" s="1"/>
  <c r="Q22" i="23"/>
  <c r="Q23" i="23" s="1"/>
  <c r="P22" i="23"/>
  <c r="P23" i="23" s="1"/>
  <c r="O22" i="23"/>
  <c r="O23" i="23" s="1"/>
  <c r="N22" i="23"/>
  <c r="N23" i="23" s="1"/>
  <c r="M22" i="23"/>
  <c r="M23" i="23" s="1"/>
  <c r="L22" i="23"/>
  <c r="L23" i="23" s="1"/>
  <c r="K22" i="23"/>
  <c r="K23" i="23" s="1"/>
  <c r="BJ19" i="23"/>
  <c r="BI19" i="23"/>
  <c r="BH19" i="23"/>
  <c r="AX19" i="23"/>
  <c r="AW19" i="23"/>
  <c r="AV19" i="23"/>
  <c r="AU19" i="23"/>
  <c r="AT19" i="23"/>
  <c r="AL19" i="23"/>
  <c r="AK19" i="23"/>
  <c r="AJ19" i="23"/>
  <c r="AF19" i="23"/>
  <c r="AE19" i="23"/>
  <c r="AD19" i="23"/>
  <c r="Z19" i="23"/>
  <c r="Y19" i="23"/>
  <c r="X19" i="23"/>
  <c r="T19" i="23"/>
  <c r="S19" i="23"/>
  <c r="R19" i="23"/>
  <c r="Q19" i="23"/>
  <c r="P19" i="23"/>
  <c r="O19" i="23"/>
  <c r="N19" i="23"/>
  <c r="M19" i="23"/>
  <c r="L19" i="23"/>
  <c r="K19" i="23"/>
  <c r="BJ18" i="23"/>
  <c r="BI18" i="23"/>
  <c r="BH18" i="23"/>
  <c r="AX18" i="23"/>
  <c r="AW18" i="23"/>
  <c r="AV18" i="23"/>
  <c r="AU18" i="23"/>
  <c r="AT18" i="23"/>
  <c r="AL18" i="23"/>
  <c r="AK18" i="23"/>
  <c r="AJ18" i="23"/>
  <c r="AF18" i="23"/>
  <c r="AE18" i="23"/>
  <c r="AD18" i="23"/>
  <c r="Z18" i="23"/>
  <c r="Y18" i="23"/>
  <c r="X18" i="23"/>
  <c r="T18" i="23"/>
  <c r="S18" i="23"/>
  <c r="R18" i="23"/>
  <c r="Q18" i="23"/>
  <c r="P18" i="23"/>
  <c r="O18" i="23"/>
  <c r="N18" i="23"/>
  <c r="M18" i="23"/>
  <c r="L18" i="23"/>
  <c r="K18" i="23"/>
  <c r="Z3" i="24"/>
  <c r="Z2" i="24"/>
  <c r="V2" i="24"/>
  <c r="T4" i="24"/>
  <c r="S4" i="24" s="1"/>
  <c r="P2" i="24"/>
  <c r="H2" i="24"/>
  <c r="G2" i="24" s="1"/>
  <c r="AD2" i="24"/>
  <c r="L4" i="24"/>
  <c r="J3" i="24"/>
  <c r="G297" i="21"/>
  <c r="G289" i="21"/>
  <c r="D237" i="21"/>
  <c r="B237" i="21"/>
  <c r="A237" i="21"/>
  <c r="D236" i="21"/>
  <c r="B236" i="21"/>
  <c r="A236" i="21"/>
  <c r="D235" i="21"/>
  <c r="B235" i="21"/>
  <c r="A235" i="21"/>
  <c r="D234" i="21"/>
  <c r="B234" i="21"/>
  <c r="A234" i="21"/>
  <c r="D233" i="21"/>
  <c r="B233" i="21"/>
  <c r="A233" i="21"/>
  <c r="D232" i="21"/>
  <c r="B232" i="21"/>
  <c r="A232" i="21"/>
  <c r="D231" i="21"/>
  <c r="B231" i="21"/>
  <c r="A231" i="21"/>
  <c r="D230" i="21"/>
  <c r="A230" i="21"/>
  <c r="D229" i="21"/>
  <c r="A229" i="21"/>
  <c r="D228" i="21"/>
  <c r="A228" i="21"/>
  <c r="D227" i="21"/>
  <c r="A227" i="21"/>
  <c r="D226" i="21"/>
  <c r="A226" i="21"/>
  <c r="D225" i="21"/>
  <c r="A225" i="21"/>
  <c r="D224" i="21"/>
  <c r="A224" i="21"/>
  <c r="D223" i="21"/>
  <c r="A223" i="21"/>
  <c r="D222" i="21"/>
  <c r="A222" i="21"/>
  <c r="D221" i="21"/>
  <c r="A221" i="21"/>
  <c r="D220" i="21"/>
  <c r="B220" i="21"/>
  <c r="A220" i="21"/>
  <c r="D219" i="21"/>
  <c r="B219" i="21"/>
  <c r="A219" i="21"/>
  <c r="D218" i="21"/>
  <c r="B218" i="21"/>
  <c r="A218" i="21"/>
  <c r="D217" i="21"/>
  <c r="A217" i="21"/>
  <c r="D216" i="21"/>
  <c r="A216" i="21"/>
  <c r="D215" i="21"/>
  <c r="B215" i="21"/>
  <c r="A215" i="21"/>
  <c r="D214" i="21"/>
  <c r="B214" i="21"/>
  <c r="A214" i="21"/>
  <c r="D213" i="21"/>
  <c r="B213" i="21"/>
  <c r="A213" i="21"/>
  <c r="D212" i="21"/>
  <c r="B212" i="21"/>
  <c r="A212" i="21"/>
  <c r="D211" i="21"/>
  <c r="B211" i="21"/>
  <c r="A211" i="21"/>
  <c r="D210" i="21"/>
  <c r="B210" i="21"/>
  <c r="A210" i="21"/>
  <c r="D209" i="21"/>
  <c r="B209" i="21"/>
  <c r="A209" i="21"/>
  <c r="D208" i="21"/>
  <c r="B208" i="21"/>
  <c r="A208" i="21"/>
  <c r="D207" i="21"/>
  <c r="A207" i="21"/>
  <c r="D206" i="21"/>
  <c r="A206" i="21"/>
  <c r="D205" i="21"/>
  <c r="A205" i="21"/>
  <c r="D204" i="21"/>
  <c r="A204" i="21"/>
  <c r="D203" i="21"/>
  <c r="A203" i="21"/>
  <c r="D202" i="21"/>
  <c r="A202" i="21"/>
  <c r="D201" i="21"/>
  <c r="A201" i="21"/>
  <c r="D200" i="21"/>
  <c r="A200" i="21"/>
  <c r="A199" i="21"/>
  <c r="B5" i="21"/>
  <c r="B6" i="21" s="1"/>
  <c r="I13" i="10"/>
  <c r="P90" i="3"/>
  <c r="D90" i="3"/>
  <c r="V90" i="3"/>
  <c r="T90" i="3"/>
  <c r="I17" i="10"/>
  <c r="C17" i="10" s="1"/>
  <c r="D81" i="3"/>
  <c r="I10" i="10"/>
  <c r="C15" i="10" s="1"/>
  <c r="I11" i="10"/>
  <c r="C11" i="10" s="1"/>
  <c r="C12" i="10" s="1"/>
  <c r="E78" i="3"/>
  <c r="F78" i="3"/>
  <c r="F83" i="3" s="1"/>
  <c r="F81" i="3" s="1"/>
  <c r="G78" i="3"/>
  <c r="H78" i="3"/>
  <c r="I78" i="3"/>
  <c r="J78" i="3"/>
  <c r="K78" i="3"/>
  <c r="L78" i="3"/>
  <c r="L83" i="3" s="1"/>
  <c r="M78" i="3"/>
  <c r="N78" i="3"/>
  <c r="O78" i="3"/>
  <c r="P78" i="3"/>
  <c r="Q78" i="3"/>
  <c r="R78" i="3"/>
  <c r="S78" i="3"/>
  <c r="T78" i="3"/>
  <c r="U78" i="3"/>
  <c r="V78" i="3"/>
  <c r="W78" i="3"/>
  <c r="W82" i="3" s="1"/>
  <c r="D78" i="3"/>
  <c r="D83" i="3" s="1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K53" i="18"/>
  <c r="J11" i="10"/>
  <c r="E3" i="15"/>
  <c r="E2" i="15" s="1"/>
  <c r="K12" i="1"/>
  <c r="M12" i="1" s="1"/>
  <c r="L12" i="1"/>
  <c r="AE3" i="3"/>
  <c r="S64" i="16"/>
  <c r="R64" i="16"/>
  <c r="M60" i="16"/>
  <c r="M64" i="16" s="1" a="1"/>
  <c r="M64" i="16" s="1"/>
  <c r="F18" i="16"/>
  <c r="U17" i="16"/>
  <c r="F7" i="16"/>
  <c r="U6" i="16"/>
  <c r="D75" i="3"/>
  <c r="D69" i="3"/>
  <c r="D70" i="3"/>
  <c r="D71" i="3"/>
  <c r="D72" i="3"/>
  <c r="D73" i="3"/>
  <c r="B3" i="11"/>
  <c r="D3" i="11" s="1"/>
  <c r="B5" i="11"/>
  <c r="D5" i="11"/>
  <c r="B4" i="11"/>
  <c r="D3" i="15"/>
  <c r="H4" i="9"/>
  <c r="C4" i="9" s="1"/>
  <c r="E40" i="3"/>
  <c r="F40" i="3"/>
  <c r="G40" i="3"/>
  <c r="H40" i="3"/>
  <c r="F6" i="2" s="1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D40" i="3"/>
  <c r="P7" i="10"/>
  <c r="M7" i="10"/>
  <c r="I5" i="10"/>
  <c r="N4" i="10"/>
  <c r="L4" i="10"/>
  <c r="E9" i="3"/>
  <c r="E60" i="3" s="1"/>
  <c r="E61" i="3" s="1"/>
  <c r="F9" i="3"/>
  <c r="F60" i="3" s="1"/>
  <c r="G9" i="3"/>
  <c r="G60" i="3" s="1"/>
  <c r="H9" i="3"/>
  <c r="D2" i="15" s="1"/>
  <c r="H60" i="3"/>
  <c r="I9" i="3"/>
  <c r="I60" i="3"/>
  <c r="J9" i="3"/>
  <c r="J60" i="3" s="1"/>
  <c r="K9" i="3"/>
  <c r="K60" i="3" s="1"/>
  <c r="L9" i="3"/>
  <c r="L60" i="3"/>
  <c r="M9" i="3"/>
  <c r="M60" i="3" s="1"/>
  <c r="N9" i="3"/>
  <c r="N60" i="3" s="1"/>
  <c r="N61" i="3" s="1"/>
  <c r="O9" i="3"/>
  <c r="O60" i="3" s="1"/>
  <c r="P9" i="3"/>
  <c r="P60" i="3" s="1"/>
  <c r="Q9" i="3"/>
  <c r="Q60" i="3" s="1"/>
  <c r="Q61" i="3" s="1"/>
  <c r="R9" i="3"/>
  <c r="R60" i="3"/>
  <c r="S9" i="3"/>
  <c r="S60" i="3" s="1"/>
  <c r="T9" i="3"/>
  <c r="T60" i="3" s="1"/>
  <c r="U9" i="3"/>
  <c r="U60" i="3" s="1"/>
  <c r="V9" i="3"/>
  <c r="V60" i="3"/>
  <c r="W9" i="3"/>
  <c r="W60" i="3" s="1"/>
  <c r="D9" i="3"/>
  <c r="D60" i="3" s="1"/>
  <c r="Y19" i="3"/>
  <c r="Y18" i="3"/>
  <c r="Y17" i="3"/>
  <c r="D4" i="11"/>
  <c r="W31" i="3"/>
  <c r="W34" i="3" s="1"/>
  <c r="V31" i="3"/>
  <c r="U31" i="3"/>
  <c r="U34" i="3" s="1"/>
  <c r="T31" i="3"/>
  <c r="T33" i="3" s="1"/>
  <c r="S31" i="3"/>
  <c r="S33" i="3" s="1"/>
  <c r="R31" i="3"/>
  <c r="Q31" i="3"/>
  <c r="Q34" i="3" s="1"/>
  <c r="P31" i="3"/>
  <c r="P34" i="3" s="1"/>
  <c r="O31" i="3"/>
  <c r="N31" i="3"/>
  <c r="N33" i="3" s="1"/>
  <c r="M31" i="3"/>
  <c r="M33" i="3" s="1"/>
  <c r="M46" i="3" s="1"/>
  <c r="M45" i="3" s="1"/>
  <c r="M44" i="3" s="1"/>
  <c r="M43" i="3" s="1"/>
  <c r="M42" i="3" s="1"/>
  <c r="L31" i="3"/>
  <c r="L34" i="3" s="1"/>
  <c r="K31" i="3"/>
  <c r="K34" i="3"/>
  <c r="J31" i="3"/>
  <c r="J34" i="3" s="1"/>
  <c r="I31" i="3"/>
  <c r="I33" i="3" s="1"/>
  <c r="H31" i="3"/>
  <c r="G31" i="3"/>
  <c r="F31" i="3"/>
  <c r="F34" i="3" s="1"/>
  <c r="E31" i="3"/>
  <c r="E34" i="3" s="1"/>
  <c r="D31" i="3"/>
  <c r="D34" i="3" s="1"/>
  <c r="D3" i="3"/>
  <c r="D4" i="3" s="1"/>
  <c r="D5" i="3"/>
  <c r="D20" i="3" s="1"/>
  <c r="E3" i="3"/>
  <c r="E5" i="3" s="1"/>
  <c r="F3" i="3"/>
  <c r="F41" i="3" s="1"/>
  <c r="F4" i="3"/>
  <c r="G3" i="3"/>
  <c r="G41" i="3" s="1"/>
  <c r="H3" i="3"/>
  <c r="H5" i="3" s="1"/>
  <c r="I3" i="3"/>
  <c r="I41" i="3" s="1"/>
  <c r="J3" i="3"/>
  <c r="J4" i="3" s="1"/>
  <c r="J5" i="3"/>
  <c r="K3" i="3"/>
  <c r="K4" i="3" s="1"/>
  <c r="L3" i="3"/>
  <c r="L5" i="3" s="1"/>
  <c r="L20" i="3" s="1"/>
  <c r="M3" i="3"/>
  <c r="M41" i="3" s="1"/>
  <c r="N3" i="3"/>
  <c r="N41" i="3"/>
  <c r="O3" i="3"/>
  <c r="O41" i="3" s="1"/>
  <c r="P3" i="3"/>
  <c r="P5" i="3" s="1"/>
  <c r="P41" i="3"/>
  <c r="Q3" i="3"/>
  <c r="Q4" i="3" s="1"/>
  <c r="Q5" i="3"/>
  <c r="Q20" i="3" s="1"/>
  <c r="R3" i="3"/>
  <c r="R4" i="3" s="1"/>
  <c r="S3" i="3"/>
  <c r="S41" i="3" s="1"/>
  <c r="T3" i="3"/>
  <c r="U3" i="3"/>
  <c r="U41" i="3" s="1"/>
  <c r="V3" i="3"/>
  <c r="V4" i="3" s="1"/>
  <c r="W3" i="3"/>
  <c r="W5" i="3" s="1"/>
  <c r="D4" i="6"/>
  <c r="D8" i="6"/>
  <c r="D10" i="6" s="1"/>
  <c r="D11" i="6" s="1"/>
  <c r="D12" i="6" s="1"/>
  <c r="D13" i="6" s="1"/>
  <c r="D9" i="6"/>
  <c r="J30" i="6"/>
  <c r="N5" i="3"/>
  <c r="N10" i="3" s="1"/>
  <c r="N20" i="3"/>
  <c r="N4" i="3"/>
  <c r="R33" i="3"/>
  <c r="R35" i="3" s="1"/>
  <c r="R34" i="3"/>
  <c r="Q41" i="3"/>
  <c r="H4" i="3"/>
  <c r="P4" i="3"/>
  <c r="I5" i="3"/>
  <c r="I4" i="3"/>
  <c r="T41" i="3"/>
  <c r="K33" i="3"/>
  <c r="K35" i="3" s="1"/>
  <c r="W81" i="3"/>
  <c r="J41" i="3"/>
  <c r="D66" i="3"/>
  <c r="D67" i="3" s="1"/>
  <c r="E66" i="3"/>
  <c r="E67" i="3" s="1"/>
  <c r="F5" i="2"/>
  <c r="D10" i="3"/>
  <c r="D14" i="3" s="1"/>
  <c r="W83" i="3"/>
  <c r="C13" i="10"/>
  <c r="C19" i="10"/>
  <c r="U7" i="16" a="1"/>
  <c r="AE4" i="3" a="1"/>
  <c r="F19" i="16" a="1"/>
  <c r="U18" i="16" a="1"/>
  <c r="H10" i="3" l="1"/>
  <c r="H20" i="3"/>
  <c r="N15" i="3"/>
  <c r="N25" i="3"/>
  <c r="E4" i="9"/>
  <c r="D61" i="3"/>
  <c r="K46" i="3"/>
  <c r="K45" i="3" s="1"/>
  <c r="K44" i="3" s="1"/>
  <c r="K43" i="3" s="1"/>
  <c r="K42" i="3" s="1"/>
  <c r="W41" i="3"/>
  <c r="O5" i="3"/>
  <c r="H41" i="3"/>
  <c r="D5" i="2" s="1"/>
  <c r="S34" i="3"/>
  <c r="D33" i="3"/>
  <c r="D35" i="3" s="1"/>
  <c r="M4" i="3"/>
  <c r="I61" i="3"/>
  <c r="E33" i="3"/>
  <c r="S4" i="3"/>
  <c r="K41" i="3"/>
  <c r="K5" i="3"/>
  <c r="K10" i="3" s="1"/>
  <c r="K47" i="3" s="1"/>
  <c r="K48" i="3" s="1"/>
  <c r="AE4" i="3"/>
  <c r="U18" i="16"/>
  <c r="U7" i="16"/>
  <c r="F19" i="16"/>
  <c r="L33" i="3"/>
  <c r="L35" i="3" s="1"/>
  <c r="I34" i="3"/>
  <c r="N34" i="3"/>
  <c r="H47" i="3"/>
  <c r="H48" i="3" s="1"/>
  <c r="D4" i="15" s="1"/>
  <c r="I4" i="10"/>
  <c r="H27" i="3"/>
  <c r="H36" i="3" s="1"/>
  <c r="H15" i="3"/>
  <c r="H25" i="3"/>
  <c r="H14" i="3"/>
  <c r="H16" i="3"/>
  <c r="K16" i="3"/>
  <c r="I35" i="3"/>
  <c r="I46" i="3"/>
  <c r="I45" i="3" s="1"/>
  <c r="I44" i="3" s="1"/>
  <c r="I43" i="3" s="1"/>
  <c r="I42" i="3" s="1"/>
  <c r="N35" i="3"/>
  <c r="N46" i="3"/>
  <c r="N45" i="3" s="1"/>
  <c r="N44" i="3" s="1"/>
  <c r="N43" i="3" s="1"/>
  <c r="N42" i="3" s="1"/>
  <c r="E10" i="3"/>
  <c r="E20" i="3"/>
  <c r="R46" i="3"/>
  <c r="R45" i="3" s="1"/>
  <c r="R44" i="3" s="1"/>
  <c r="R43" i="3" s="1"/>
  <c r="R42" i="3" s="1"/>
  <c r="Q10" i="3"/>
  <c r="M34" i="3"/>
  <c r="S5" i="3"/>
  <c r="Q33" i="3"/>
  <c r="E4" i="10"/>
  <c r="E12" i="10" s="1"/>
  <c r="S61" i="3"/>
  <c r="F4" i="10"/>
  <c r="E19" i="1" s="1"/>
  <c r="S65" i="16"/>
  <c r="L82" i="3"/>
  <c r="U33" i="3"/>
  <c r="I10" i="3"/>
  <c r="I14" i="3" s="1"/>
  <c r="H61" i="3"/>
  <c r="L81" i="3"/>
  <c r="E41" i="3"/>
  <c r="E4" i="3"/>
  <c r="P54" i="16"/>
  <c r="I20" i="3"/>
  <c r="D41" i="3"/>
  <c r="U5" i="3"/>
  <c r="F33" i="3"/>
  <c r="Q42" i="16" a="1"/>
  <c r="Q43" i="16" s="1"/>
  <c r="P29" i="16"/>
  <c r="O33" i="3"/>
  <c r="O34" i="3"/>
  <c r="S46" i="3"/>
  <c r="S45" i="3" s="1"/>
  <c r="S44" i="3" s="1"/>
  <c r="S43" i="3" s="1"/>
  <c r="S42" i="3" s="1"/>
  <c r="S35" i="3"/>
  <c r="N16" i="3"/>
  <c r="I27" i="3"/>
  <c r="I36" i="3" s="1"/>
  <c r="I15" i="3"/>
  <c r="I16" i="3"/>
  <c r="D15" i="3"/>
  <c r="J33" i="3"/>
  <c r="U20" i="3"/>
  <c r="U61" i="3"/>
  <c r="T34" i="3"/>
  <c r="U4" i="3"/>
  <c r="L10" i="3"/>
  <c r="L61" i="3"/>
  <c r="K82" i="3"/>
  <c r="K83" i="3"/>
  <c r="K81" i="3"/>
  <c r="N27" i="3"/>
  <c r="N36" i="3" s="1"/>
  <c r="N47" i="3"/>
  <c r="N48" i="3" s="1"/>
  <c r="D16" i="3"/>
  <c r="D25" i="3"/>
  <c r="T5" i="3"/>
  <c r="K15" i="3"/>
  <c r="K25" i="3"/>
  <c r="K27" i="3"/>
  <c r="K36" i="3" s="1"/>
  <c r="V30" i="16" a="1"/>
  <c r="V30" i="16" s="1"/>
  <c r="W10" i="3"/>
  <c r="W61" i="3"/>
  <c r="W20" i="3"/>
  <c r="U10" i="3"/>
  <c r="U47" i="3" s="1"/>
  <c r="U48" i="3" s="1"/>
  <c r="N14" i="3"/>
  <c r="H87" i="3"/>
  <c r="H38" i="3"/>
  <c r="D14" i="6"/>
  <c r="D15" i="6" s="1"/>
  <c r="D16" i="6" s="1"/>
  <c r="D17" i="6" s="1"/>
  <c r="D18" i="6" s="1"/>
  <c r="O10" i="3"/>
  <c r="O47" i="3" s="1"/>
  <c r="O48" i="3" s="1"/>
  <c r="O61" i="3"/>
  <c r="O20" i="3"/>
  <c r="K61" i="3"/>
  <c r="K20" i="3"/>
  <c r="G4" i="3"/>
  <c r="G5" i="3"/>
  <c r="G33" i="3"/>
  <c r="G34" i="3"/>
  <c r="P61" i="3"/>
  <c r="P10" i="3"/>
  <c r="P20" i="3"/>
  <c r="D27" i="3"/>
  <c r="D36" i="3" s="1"/>
  <c r="M35" i="3"/>
  <c r="O4" i="3"/>
  <c r="H33" i="3"/>
  <c r="H34" i="3"/>
  <c r="K6" i="2" s="1"/>
  <c r="K5" i="2" s="1"/>
  <c r="T46" i="3"/>
  <c r="T45" i="3" s="1"/>
  <c r="T44" i="3" s="1"/>
  <c r="T43" i="3" s="1"/>
  <c r="T42" i="3" s="1"/>
  <c r="T35" i="3"/>
  <c r="D47" i="3"/>
  <c r="D48" i="3" s="1"/>
  <c r="T4" i="3"/>
  <c r="R41" i="3"/>
  <c r="R5" i="3"/>
  <c r="J10" i="3"/>
  <c r="J20" i="3"/>
  <c r="J61" i="3"/>
  <c r="V34" i="3"/>
  <c r="V33" i="3"/>
  <c r="D2" i="11"/>
  <c r="J4" i="10" s="1"/>
  <c r="E47" i="3"/>
  <c r="E48" i="3" s="1"/>
  <c r="Q47" i="3"/>
  <c r="Q48" i="3" s="1"/>
  <c r="E27" i="3"/>
  <c r="E36" i="3" s="1"/>
  <c r="V5" i="3"/>
  <c r="V41" i="3"/>
  <c r="L4" i="3"/>
  <c r="F5" i="3"/>
  <c r="P33" i="3"/>
  <c r="W33" i="3"/>
  <c r="W4" i="3"/>
  <c r="L41" i="3"/>
  <c r="M5" i="3"/>
  <c r="I3" i="24"/>
  <c r="B10" i="21"/>
  <c r="C133" i="21"/>
  <c r="P3" i="24"/>
  <c r="O3" i="24" s="1"/>
  <c r="V4" i="24"/>
  <c r="AD4" i="24"/>
  <c r="H4" i="24"/>
  <c r="G4" i="24" s="1"/>
  <c r="L2" i="24"/>
  <c r="K2" i="24" s="1"/>
  <c r="Y2" i="24"/>
  <c r="Z4" i="24"/>
  <c r="L3" i="24"/>
  <c r="K3" i="24" s="1"/>
  <c r="P4" i="24"/>
  <c r="Y4" i="24"/>
  <c r="T2" i="24"/>
  <c r="S2" i="24" s="1"/>
  <c r="S3" i="24"/>
  <c r="O2" i="24"/>
  <c r="B133" i="21"/>
  <c r="K4" i="24"/>
  <c r="F8" i="16" a="1"/>
  <c r="K14" i="3" l="1"/>
  <c r="I25" i="3"/>
  <c r="L46" i="3"/>
  <c r="L45" i="3" s="1"/>
  <c r="L44" i="3" s="1"/>
  <c r="L43" i="3" s="1"/>
  <c r="L42" i="3" s="1"/>
  <c r="E13" i="10"/>
  <c r="E14" i="10"/>
  <c r="E15" i="10"/>
  <c r="E35" i="3"/>
  <c r="E46" i="3"/>
  <c r="E45" i="3" s="1"/>
  <c r="E44" i="3" s="1"/>
  <c r="E43" i="3" s="1"/>
  <c r="E42" i="3" s="1"/>
  <c r="E17" i="10"/>
  <c r="D46" i="3"/>
  <c r="D45" i="3" s="1"/>
  <c r="D44" i="3" s="1"/>
  <c r="D43" i="3" s="1"/>
  <c r="D42" i="3" s="1"/>
  <c r="I47" i="3"/>
  <c r="I48" i="3" s="1"/>
  <c r="F8" i="16"/>
  <c r="F35" i="3"/>
  <c r="F46" i="3"/>
  <c r="F45" i="3" s="1"/>
  <c r="F44" i="3" s="1"/>
  <c r="F43" i="3" s="1"/>
  <c r="F42" i="3" s="1"/>
  <c r="E19" i="10"/>
  <c r="C19" i="1"/>
  <c r="E14" i="3"/>
  <c r="E15" i="3"/>
  <c r="E16" i="3"/>
  <c r="E25" i="3"/>
  <c r="Q35" i="3"/>
  <c r="Q46" i="3"/>
  <c r="Q45" i="3" s="1"/>
  <c r="Q44" i="3" s="1"/>
  <c r="Q43" i="3" s="1"/>
  <c r="Q42" i="3" s="1"/>
  <c r="U46" i="3"/>
  <c r="U45" i="3" s="1"/>
  <c r="U44" i="3" s="1"/>
  <c r="U43" i="3" s="1"/>
  <c r="U42" i="3" s="1"/>
  <c r="U35" i="3"/>
  <c r="S10" i="3"/>
  <c r="S20" i="3"/>
  <c r="S59" i="16"/>
  <c r="S58" i="16"/>
  <c r="E11" i="10"/>
  <c r="Q27" i="3"/>
  <c r="Q36" i="3" s="1"/>
  <c r="Q15" i="3"/>
  <c r="Q16" i="3"/>
  <c r="Q25" i="3"/>
  <c r="Q14" i="3"/>
  <c r="J46" i="3"/>
  <c r="J45" i="3" s="1"/>
  <c r="J44" i="3" s="1"/>
  <c r="J43" i="3" s="1"/>
  <c r="J42" i="3" s="1"/>
  <c r="J35" i="3"/>
  <c r="J15" i="3"/>
  <c r="J27" i="3"/>
  <c r="J36" i="3" s="1"/>
  <c r="J16" i="3"/>
  <c r="J25" i="3"/>
  <c r="J47" i="3"/>
  <c r="J48" i="3" s="1"/>
  <c r="J14" i="3"/>
  <c r="D87" i="3"/>
  <c r="D91" i="3" s="1"/>
  <c r="D92" i="3" s="1"/>
  <c r="D38" i="3"/>
  <c r="T20" i="3"/>
  <c r="T10" i="3"/>
  <c r="T61" i="3"/>
  <c r="W14" i="3"/>
  <c r="W47" i="3"/>
  <c r="W48" i="3" s="1"/>
  <c r="W25" i="3"/>
  <c r="W16" i="3"/>
  <c r="W27" i="3"/>
  <c r="W36" i="3" s="1"/>
  <c r="W15" i="3"/>
  <c r="O35" i="3"/>
  <c r="O46" i="3"/>
  <c r="O45" i="3" s="1"/>
  <c r="O44" i="3" s="1"/>
  <c r="O43" i="3" s="1"/>
  <c r="O42" i="3" s="1"/>
  <c r="E38" i="3"/>
  <c r="E87" i="3"/>
  <c r="E91" i="3" s="1"/>
  <c r="E92" i="3" s="1"/>
  <c r="H35" i="3"/>
  <c r="J7" i="10" s="1"/>
  <c r="C7" i="10" s="1"/>
  <c r="H46" i="3"/>
  <c r="C13" i="1"/>
  <c r="K5" i="10"/>
  <c r="E6" i="2"/>
  <c r="E5" i="2" s="1"/>
  <c r="P14" i="3"/>
  <c r="P25" i="3"/>
  <c r="P16" i="3"/>
  <c r="P47" i="3"/>
  <c r="P48" i="3" s="1"/>
  <c r="P27" i="3"/>
  <c r="P36" i="3" s="1"/>
  <c r="P15" i="3"/>
  <c r="D6" i="2"/>
  <c r="D7" i="2" s="1"/>
  <c r="C12" i="1"/>
  <c r="C15" i="1" s="1"/>
  <c r="H39" i="3"/>
  <c r="H91" i="3"/>
  <c r="H88" i="3"/>
  <c r="K87" i="3"/>
  <c r="K38" i="3"/>
  <c r="K39" i="3" s="1"/>
  <c r="L16" i="3"/>
  <c r="L14" i="3"/>
  <c r="L47" i="3"/>
  <c r="L48" i="3" s="1"/>
  <c r="L27" i="3"/>
  <c r="L36" i="3" s="1"/>
  <c r="L15" i="3"/>
  <c r="L25" i="3"/>
  <c r="V35" i="3"/>
  <c r="V46" i="3"/>
  <c r="V45" i="3" s="1"/>
  <c r="V44" i="3" s="1"/>
  <c r="V43" i="3" s="1"/>
  <c r="V42" i="3" s="1"/>
  <c r="W35" i="3"/>
  <c r="W46" i="3"/>
  <c r="W45" i="3" s="1"/>
  <c r="W44" i="3" s="1"/>
  <c r="W43" i="3" s="1"/>
  <c r="W42" i="3" s="1"/>
  <c r="N38" i="3"/>
  <c r="N39" i="3" s="1"/>
  <c r="N87" i="3"/>
  <c r="M61" i="3"/>
  <c r="M20" i="3"/>
  <c r="M10" i="3"/>
  <c r="V20" i="3"/>
  <c r="V10" i="3"/>
  <c r="V61" i="3"/>
  <c r="R20" i="3"/>
  <c r="R10" i="3"/>
  <c r="R61" i="3"/>
  <c r="I87" i="3"/>
  <c r="I38" i="3"/>
  <c r="I39" i="3" s="1"/>
  <c r="Q42" i="16"/>
  <c r="P35" i="3"/>
  <c r="P46" i="3"/>
  <c r="P45" i="3" s="1"/>
  <c r="P44" i="3" s="1"/>
  <c r="P43" i="3" s="1"/>
  <c r="P42" i="3" s="1"/>
  <c r="Y16" i="3"/>
  <c r="K4" i="10" s="1"/>
  <c r="E16" i="10"/>
  <c r="G46" i="3"/>
  <c r="G45" i="3" s="1"/>
  <c r="G44" i="3" s="1"/>
  <c r="G43" i="3" s="1"/>
  <c r="G42" i="3" s="1"/>
  <c r="G35" i="3"/>
  <c r="O15" i="3"/>
  <c r="O27" i="3"/>
  <c r="O36" i="3" s="1"/>
  <c r="O14" i="3"/>
  <c r="O25" i="3"/>
  <c r="O16" i="3"/>
  <c r="U27" i="3"/>
  <c r="U36" i="3" s="1"/>
  <c r="U25" i="3"/>
  <c r="U16" i="3"/>
  <c r="U15" i="3"/>
  <c r="U14" i="3"/>
  <c r="F10" i="3"/>
  <c r="F61" i="3"/>
  <c r="F20" i="3"/>
  <c r="G20" i="3"/>
  <c r="G61" i="3"/>
  <c r="G10" i="3"/>
  <c r="D19" i="6"/>
  <c r="F18" i="6"/>
  <c r="C11" i="21"/>
  <c r="C78" i="21" s="1"/>
  <c r="O4" i="24"/>
  <c r="C135" i="21"/>
  <c r="J111" i="21"/>
  <c r="B135" i="21"/>
  <c r="S27" i="3" l="1"/>
  <c r="S36" i="3" s="1"/>
  <c r="S16" i="3"/>
  <c r="S47" i="3"/>
  <c r="S48" i="3" s="1"/>
  <c r="S14" i="3"/>
  <c r="S25" i="3"/>
  <c r="S15" i="3"/>
  <c r="Q38" i="3"/>
  <c r="Q39" i="3" s="1"/>
  <c r="Q87" i="3"/>
  <c r="B78" i="21"/>
  <c r="C84" i="21"/>
  <c r="C156" i="21"/>
  <c r="U87" i="3"/>
  <c r="U38" i="3"/>
  <c r="U39" i="3" s="1"/>
  <c r="R14" i="3"/>
  <c r="R25" i="3"/>
  <c r="R15" i="3"/>
  <c r="R27" i="3"/>
  <c r="R36" i="3" s="1"/>
  <c r="R16" i="3"/>
  <c r="R47" i="3"/>
  <c r="R48" i="3" s="1"/>
  <c r="N91" i="3"/>
  <c r="N88" i="3"/>
  <c r="N92" i="3" s="1"/>
  <c r="L38" i="3"/>
  <c r="L39" i="3" s="1"/>
  <c r="L87" i="3"/>
  <c r="C6" i="2"/>
  <c r="H66" i="3"/>
  <c r="H67" i="3" s="1"/>
  <c r="C11" i="1"/>
  <c r="C14" i="1" s="1"/>
  <c r="F14" i="3"/>
  <c r="F15" i="3"/>
  <c r="F27" i="3"/>
  <c r="F36" i="3" s="1"/>
  <c r="F16" i="3"/>
  <c r="F25" i="3"/>
  <c r="F47" i="3"/>
  <c r="F48" i="3" s="1"/>
  <c r="C5" i="10"/>
  <c r="C6" i="10"/>
  <c r="N66" i="3"/>
  <c r="N67" i="3" s="1"/>
  <c r="B140" i="21"/>
  <c r="T25" i="3"/>
  <c r="T14" i="3"/>
  <c r="T15" i="3"/>
  <c r="T27" i="3"/>
  <c r="T36" i="3" s="1"/>
  <c r="T16" i="3"/>
  <c r="T47" i="3"/>
  <c r="T48" i="3" s="1"/>
  <c r="J87" i="3"/>
  <c r="J38" i="3"/>
  <c r="J39" i="3" s="1"/>
  <c r="V27" i="3"/>
  <c r="V36" i="3" s="1"/>
  <c r="V25" i="3"/>
  <c r="V16" i="3"/>
  <c r="V15" i="3"/>
  <c r="V47" i="3"/>
  <c r="V48" i="3" s="1"/>
  <c r="V14" i="3"/>
  <c r="B77" i="21"/>
  <c r="C122" i="21" s="1"/>
  <c r="G14" i="3"/>
  <c r="G15" i="3"/>
  <c r="G16" i="3"/>
  <c r="G25" i="3"/>
  <c r="G27" i="3"/>
  <c r="G36" i="3" s="1"/>
  <c r="G47" i="3"/>
  <c r="G48" i="3" s="1"/>
  <c r="O87" i="3"/>
  <c r="O38" i="3"/>
  <c r="O39" i="3" s="1"/>
  <c r="K67" i="3"/>
  <c r="K66" i="3"/>
  <c r="P38" i="3"/>
  <c r="P39" i="3" s="1"/>
  <c r="P87" i="3"/>
  <c r="H45" i="3"/>
  <c r="B6" i="15"/>
  <c r="W87" i="3"/>
  <c r="W38" i="3"/>
  <c r="W39" i="3" s="1"/>
  <c r="B115" i="21"/>
  <c r="B217" i="21" s="1"/>
  <c r="I66" i="3"/>
  <c r="I67" i="3"/>
  <c r="M25" i="3"/>
  <c r="M27" i="3"/>
  <c r="M36" i="3" s="1"/>
  <c r="M47" i="3"/>
  <c r="M48" i="3" s="1"/>
  <c r="M15" i="3"/>
  <c r="M14" i="3"/>
  <c r="M16" i="3"/>
  <c r="K88" i="3"/>
  <c r="K91" i="3"/>
  <c r="B175" i="21"/>
  <c r="G175" i="21" s="1"/>
  <c r="I91" i="3"/>
  <c r="I88" i="3"/>
  <c r="I92" i="3" s="1"/>
  <c r="H92" i="3"/>
  <c r="C89" i="21"/>
  <c r="B111" i="21"/>
  <c r="B205" i="21" s="1"/>
  <c r="C167" i="21"/>
  <c r="C175" i="21"/>
  <c r="C87" i="21"/>
  <c r="C34" i="21"/>
  <c r="C33" i="21"/>
  <c r="B33" i="21"/>
  <c r="B34" i="21"/>
  <c r="B167" i="21"/>
  <c r="B177" i="21"/>
  <c r="G299" i="21" s="1"/>
  <c r="B87" i="21"/>
  <c r="B226" i="21" s="1"/>
  <c r="B166" i="21"/>
  <c r="B168" i="21"/>
  <c r="C170" i="21" s="1"/>
  <c r="B14" i="21"/>
  <c r="B16" i="21" s="1"/>
  <c r="C18" i="21" s="1"/>
  <c r="B73" i="21"/>
  <c r="B74" i="21"/>
  <c r="B223" i="21" s="1"/>
  <c r="C77" i="21"/>
  <c r="C166" i="21"/>
  <c r="B116" i="21"/>
  <c r="B206" i="21" s="1"/>
  <c r="C14" i="21"/>
  <c r="C30" i="21"/>
  <c r="B30" i="21"/>
  <c r="C73" i="21"/>
  <c r="C180" i="21"/>
  <c r="C183" i="21"/>
  <c r="C165" i="21"/>
  <c r="B184" i="21"/>
  <c r="G301" i="21" s="1"/>
  <c r="C111" i="21"/>
  <c r="B183" i="21"/>
  <c r="B75" i="21"/>
  <c r="B224" i="21" s="1"/>
  <c r="C75" i="21"/>
  <c r="C72" i="21"/>
  <c r="C177" i="21"/>
  <c r="C190" i="21"/>
  <c r="C114" i="21"/>
  <c r="C184" i="21"/>
  <c r="C116" i="21"/>
  <c r="C140" i="21"/>
  <c r="C115" i="21"/>
  <c r="B84" i="21"/>
  <c r="B114" i="21"/>
  <c r="B216" i="21" s="1"/>
  <c r="C79" i="21"/>
  <c r="B157" i="21"/>
  <c r="C149" i="21"/>
  <c r="B156" i="21"/>
  <c r="B89" i="21"/>
  <c r="B207" i="21" s="1"/>
  <c r="C157" i="21"/>
  <c r="C81" i="21"/>
  <c r="B165" i="21"/>
  <c r="C29" i="21"/>
  <c r="C28" i="21"/>
  <c r="B28" i="21"/>
  <c r="B29" i="21"/>
  <c r="B15" i="21"/>
  <c r="J295" i="21" s="1"/>
  <c r="C22" i="21"/>
  <c r="C24" i="21"/>
  <c r="C23" i="21"/>
  <c r="B24" i="21"/>
  <c r="B22" i="21"/>
  <c r="B23" i="21"/>
  <c r="C20" i="21"/>
  <c r="B20" i="21"/>
  <c r="C31" i="21"/>
  <c r="C146" i="21"/>
  <c r="B146" i="21"/>
  <c r="B19" i="21"/>
  <c r="B112" i="21"/>
  <c r="B158" i="21"/>
  <c r="B187" i="21"/>
  <c r="G292" i="21" s="1"/>
  <c r="B83" i="21"/>
  <c r="B139" i="21" s="1"/>
  <c r="C158" i="21"/>
  <c r="C187" i="21"/>
  <c r="B81" i="21"/>
  <c r="C148" i="21"/>
  <c r="B79" i="21"/>
  <c r="B149" i="21"/>
  <c r="B180" i="21"/>
  <c r="G316" i="21" s="1"/>
  <c r="C74" i="21"/>
  <c r="C83" i="21"/>
  <c r="C112" i="21"/>
  <c r="B148" i="21"/>
  <c r="C168" i="21"/>
  <c r="B190" i="21"/>
  <c r="G310" i="21" s="1"/>
  <c r="C15" i="21"/>
  <c r="C19" i="21"/>
  <c r="B32" i="21"/>
  <c r="B31" i="21"/>
  <c r="C32" i="21"/>
  <c r="J322" i="21"/>
  <c r="J316" i="21"/>
  <c r="J314" i="21"/>
  <c r="J312" i="21"/>
  <c r="J298" i="21"/>
  <c r="J323" i="21"/>
  <c r="J315" i="21"/>
  <c r="J307" i="21"/>
  <c r="J301" i="21"/>
  <c r="J325" i="21"/>
  <c r="J309" i="21"/>
  <c r="J296" i="21"/>
  <c r="P4" i="10"/>
  <c r="C4" i="10"/>
  <c r="G298" i="21" l="1"/>
  <c r="G312" i="21"/>
  <c r="G296" i="21"/>
  <c r="C18" i="1"/>
  <c r="G323" i="21"/>
  <c r="G306" i="21"/>
  <c r="G313" i="21"/>
  <c r="Q66" i="3"/>
  <c r="Q67" i="3" s="1"/>
  <c r="Q88" i="3"/>
  <c r="Q91" i="3"/>
  <c r="G29" i="21"/>
  <c r="S87" i="3"/>
  <c r="S38" i="3"/>
  <c r="S39" i="3" s="1"/>
  <c r="S66" i="3" s="1"/>
  <c r="S67" i="3" s="1"/>
  <c r="B122" i="21"/>
  <c r="G75" i="21"/>
  <c r="B18" i="21"/>
  <c r="G77" i="21"/>
  <c r="G76" i="21"/>
  <c r="K289" i="21"/>
  <c r="G74" i="21"/>
  <c r="B21" i="21"/>
  <c r="B27" i="21" s="1"/>
  <c r="J88" i="3"/>
  <c r="J91" i="3"/>
  <c r="B202" i="21"/>
  <c r="C141" i="21"/>
  <c r="W91" i="3"/>
  <c r="W88" i="3"/>
  <c r="O88" i="3"/>
  <c r="O91" i="3"/>
  <c r="L91" i="3"/>
  <c r="L88" i="3"/>
  <c r="L92" i="3" s="1"/>
  <c r="J66" i="3"/>
  <c r="J67" i="3"/>
  <c r="R87" i="3"/>
  <c r="R38" i="3"/>
  <c r="R39" i="3" s="1"/>
  <c r="O66" i="3"/>
  <c r="O67" i="3"/>
  <c r="F38" i="3"/>
  <c r="F39" i="3" s="1"/>
  <c r="F87" i="3"/>
  <c r="L66" i="3"/>
  <c r="L67" i="3"/>
  <c r="C7" i="2"/>
  <c r="X6" i="2"/>
  <c r="C5" i="2"/>
  <c r="M87" i="3"/>
  <c r="M38" i="3"/>
  <c r="M39" i="3" s="1"/>
  <c r="B5" i="15"/>
  <c r="H44" i="3"/>
  <c r="G87" i="3"/>
  <c r="G38" i="3"/>
  <c r="G39" i="3" s="1"/>
  <c r="T87" i="3"/>
  <c r="T38" i="3"/>
  <c r="T39" i="3" s="1"/>
  <c r="U66" i="3"/>
  <c r="U67" i="3" s="1"/>
  <c r="C80" i="21"/>
  <c r="P88" i="3"/>
  <c r="P91" i="3"/>
  <c r="U88" i="3"/>
  <c r="U91" i="3"/>
  <c r="P66" i="3"/>
  <c r="P67" i="3" s="1"/>
  <c r="W66" i="3"/>
  <c r="W67" i="3"/>
  <c r="K92" i="3"/>
  <c r="V38" i="3"/>
  <c r="V39" i="3" s="1"/>
  <c r="V87" i="3"/>
  <c r="C88" i="21"/>
  <c r="B222" i="21"/>
  <c r="J313" i="21"/>
  <c r="J300" i="21"/>
  <c r="J324" i="21"/>
  <c r="C113" i="21"/>
  <c r="C35" i="21"/>
  <c r="B35" i="21"/>
  <c r="B141" i="21"/>
  <c r="B228" i="21" s="1"/>
  <c r="J321" i="21"/>
  <c r="J302" i="21"/>
  <c r="J328" i="21"/>
  <c r="J287" i="21"/>
  <c r="J306" i="21"/>
  <c r="C16" i="21"/>
  <c r="J299" i="21"/>
  <c r="J308" i="21"/>
  <c r="B88" i="21"/>
  <c r="B227" i="21" s="1"/>
  <c r="B230" i="21"/>
  <c r="B170" i="21"/>
  <c r="G286" i="21" s="1"/>
  <c r="J289" i="21"/>
  <c r="B117" i="21"/>
  <c r="B204" i="21" s="1"/>
  <c r="C126" i="21"/>
  <c r="G321" i="21"/>
  <c r="G315" i="21"/>
  <c r="C117" i="21"/>
  <c r="G295" i="21"/>
  <c r="B126" i="21"/>
  <c r="G324" i="21"/>
  <c r="G317" i="21"/>
  <c r="G294" i="21"/>
  <c r="G308" i="21"/>
  <c r="G288" i="21"/>
  <c r="G73" i="21"/>
  <c r="J286" i="21"/>
  <c r="J288" i="21"/>
  <c r="G167" i="21"/>
  <c r="J294" i="21"/>
  <c r="J317" i="21"/>
  <c r="B26" i="21"/>
  <c r="C26" i="21"/>
  <c r="C21" i="21"/>
  <c r="G325" i="21"/>
  <c r="G291" i="21"/>
  <c r="G318" i="21"/>
  <c r="G309" i="21"/>
  <c r="G322" i="21"/>
  <c r="G326" i="21"/>
  <c r="G302" i="21"/>
  <c r="G293" i="21"/>
  <c r="B72" i="21"/>
  <c r="B101" i="21" s="1"/>
  <c r="B229" i="21" s="1"/>
  <c r="G72" i="21"/>
  <c r="B76" i="21"/>
  <c r="B225" i="21" s="1"/>
  <c r="C76" i="21"/>
  <c r="G307" i="21"/>
  <c r="G328" i="21"/>
  <c r="B121" i="21"/>
  <c r="B113" i="21"/>
  <c r="C121" i="21"/>
  <c r="B80" i="21"/>
  <c r="B82" i="21" s="1"/>
  <c r="G319" i="21"/>
  <c r="G300" i="21"/>
  <c r="G320" i="21"/>
  <c r="G314" i="21"/>
  <c r="B118" i="21"/>
  <c r="C85" i="21"/>
  <c r="C192" i="21"/>
  <c r="C118" i="21"/>
  <c r="B200" i="21"/>
  <c r="B85" i="21"/>
  <c r="B201" i="21" s="1"/>
  <c r="C139" i="21"/>
  <c r="J290" i="21"/>
  <c r="J292" i="21" s="1"/>
  <c r="G305" i="21"/>
  <c r="G327" i="21"/>
  <c r="K290" i="21"/>
  <c r="G303" i="21"/>
  <c r="G304" i="21"/>
  <c r="G311" i="21"/>
  <c r="B192" i="21"/>
  <c r="J320" i="21" s="1"/>
  <c r="G31" i="21"/>
  <c r="G32" i="21"/>
  <c r="B142" i="21"/>
  <c r="C142" i="21"/>
  <c r="C127" i="21" l="1"/>
  <c r="S91" i="3"/>
  <c r="S88" i="3"/>
  <c r="S92" i="3" s="1"/>
  <c r="W92" i="3"/>
  <c r="Q92" i="3"/>
  <c r="C125" i="21"/>
  <c r="M91" i="3"/>
  <c r="M88" i="3"/>
  <c r="M92" i="3" s="1"/>
  <c r="T66" i="3"/>
  <c r="T67" i="3" s="1"/>
  <c r="O92" i="3"/>
  <c r="V88" i="3"/>
  <c r="V91" i="3"/>
  <c r="U92" i="3"/>
  <c r="G66" i="3"/>
  <c r="G67" i="3" s="1"/>
  <c r="R91" i="3"/>
  <c r="R88" i="3"/>
  <c r="T88" i="3"/>
  <c r="T91" i="3"/>
  <c r="B152" i="21"/>
  <c r="V66" i="3"/>
  <c r="V67" i="3" s="1"/>
  <c r="G88" i="3"/>
  <c r="G91" i="3"/>
  <c r="R66" i="3"/>
  <c r="R67" i="3" s="1"/>
  <c r="P92" i="3"/>
  <c r="B4" i="15"/>
  <c r="H43" i="3"/>
  <c r="F91" i="3"/>
  <c r="F88" i="3"/>
  <c r="M66" i="3"/>
  <c r="M67" i="3"/>
  <c r="F66" i="3"/>
  <c r="F67" i="3" s="1"/>
  <c r="J92" i="3"/>
  <c r="G138" i="21"/>
  <c r="C152" i="21"/>
  <c r="B125" i="21"/>
  <c r="C124" i="21" s="1"/>
  <c r="C27" i="21"/>
  <c r="B203" i="21"/>
  <c r="J326" i="21"/>
  <c r="C82" i="21"/>
  <c r="B127" i="21"/>
  <c r="B128" i="21" s="1"/>
  <c r="C101" i="21"/>
  <c r="B221" i="21"/>
  <c r="G287" i="21"/>
  <c r="J303" i="21"/>
  <c r="J293" i="21"/>
  <c r="J311" i="21"/>
  <c r="J304" i="21"/>
  <c r="J319" i="21"/>
  <c r="J310" i="21"/>
  <c r="J305" i="21"/>
  <c r="J327" i="21"/>
  <c r="G111" i="21"/>
  <c r="J291" i="21"/>
  <c r="J318" i="21"/>
  <c r="B150" i="21"/>
  <c r="G187" i="21"/>
  <c r="C150" i="21"/>
  <c r="C143" i="21"/>
  <c r="B143" i="21"/>
  <c r="F92" i="3" l="1"/>
  <c r="R92" i="3"/>
  <c r="G92" i="3"/>
  <c r="V92" i="3"/>
  <c r="T92" i="3"/>
  <c r="H42" i="3"/>
  <c r="B2" i="15" s="1"/>
  <c r="B3" i="15"/>
  <c r="B123" i="21"/>
  <c r="B124" i="21"/>
  <c r="C123" i="21"/>
  <c r="C128" i="21"/>
  <c r="B11" i="21" a="1"/>
  <c r="B11" i="21" s="1"/>
  <c r="G78" i="21"/>
  <c r="G80" i="21" s="1"/>
  <c r="B86" i="21"/>
  <c r="G183" i="21" s="1"/>
  <c r="C86" i="21"/>
  <c r="G79" i="21"/>
  <c r="B155" i="21"/>
  <c r="C155" i="21"/>
  <c r="B199" i="21" l="1"/>
  <c r="G290" i="21"/>
  <c r="A240" i="21" l="1"/>
  <c r="A28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修改人编号：0001N6100000000DAY7T,姓名：张昊</author>
  </authors>
  <commentList>
    <comment ref="D7" authorId="0" shapeId="0" xr:uid="{00000000-0006-0000-0D00-000001000000}">
      <text>
        <r>
          <rPr>
            <b/>
            <sz val="9"/>
            <color indexed="81"/>
            <rFont val="宋体"/>
            <family val="3"/>
            <charset val="134"/>
          </rPr>
          <t>张昊:数量增加1台。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修改人编号：0001N6100000000DAY7T,姓名：张昊</author>
  </authors>
  <commentList>
    <comment ref="D4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张昊:数量增加1台。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<sst xmlns="http://schemas.openxmlformats.org/spreadsheetml/2006/main" count="1926" uniqueCount="912">
  <si>
    <t>项目</t>
  </si>
  <si>
    <t>数值</t>
  </si>
  <si>
    <t>单位</t>
  </si>
  <si>
    <t>备注</t>
  </si>
  <si>
    <t>规模</t>
  </si>
  <si>
    <r>
      <t>Q</t>
    </r>
    <r>
      <rPr>
        <vertAlign val="subscript"/>
        <sz val="10"/>
        <color indexed="8"/>
        <rFont val="微软雅黑"/>
        <family val="2"/>
        <charset val="134"/>
      </rPr>
      <t>总</t>
    </r>
    <r>
      <rPr>
        <sz val="10"/>
        <color indexed="8"/>
        <rFont val="微软雅黑"/>
        <family val="2"/>
        <charset val="134"/>
      </rPr>
      <t>=</t>
    </r>
  </si>
  <si>
    <r>
      <t>m</t>
    </r>
    <r>
      <rPr>
        <vertAlign val="superscript"/>
        <sz val="10"/>
        <color indexed="8"/>
        <rFont val="微软雅黑"/>
        <family val="2"/>
        <charset val="134"/>
      </rPr>
      <t>3</t>
    </r>
    <r>
      <rPr>
        <sz val="10"/>
        <color indexed="8"/>
        <rFont val="微软雅黑"/>
        <family val="2"/>
        <charset val="134"/>
      </rPr>
      <t>/d</t>
    </r>
  </si>
  <si>
    <r>
      <t>H</t>
    </r>
    <r>
      <rPr>
        <vertAlign val="subscript"/>
        <sz val="10"/>
        <color indexed="8"/>
        <rFont val="微软雅黑"/>
        <family val="2"/>
        <charset val="134"/>
      </rPr>
      <t>J</t>
    </r>
    <r>
      <rPr>
        <sz val="10"/>
        <color indexed="8"/>
        <rFont val="微软雅黑"/>
        <family val="2"/>
        <charset val="134"/>
      </rPr>
      <t>=</t>
    </r>
  </si>
  <si>
    <t xml:space="preserve">m </t>
  </si>
  <si>
    <t>提升后液位</t>
  </si>
  <si>
    <t>Hc=</t>
  </si>
  <si>
    <t>规模（日流量）</t>
  </si>
  <si>
    <t>m3/d</t>
  </si>
  <si>
    <t>变化系数</t>
  </si>
  <si>
    <t>KZ</t>
  </si>
  <si>
    <t>均值流量（时流量）</t>
  </si>
  <si>
    <t>m3/h</t>
  </si>
  <si>
    <t>均值流量（秒流量）</t>
  </si>
  <si>
    <t>L/S</t>
  </si>
  <si>
    <t>高日高时流量</t>
  </si>
  <si>
    <t>水泵运行数量</t>
  </si>
  <si>
    <t>n</t>
  </si>
  <si>
    <t>水泵备用数量</t>
  </si>
  <si>
    <t>水泵流量</t>
  </si>
  <si>
    <t>估算对应轴功率</t>
  </si>
  <si>
    <t>kW</t>
  </si>
  <si>
    <t>进水管管径</t>
  </si>
  <si>
    <t>m</t>
  </si>
  <si>
    <t>水泵出水管径</t>
  </si>
  <si>
    <t>取值</t>
  </si>
  <si>
    <t xml:space="preserve">m3 </t>
  </si>
  <si>
    <t>集水池有效水深</t>
  </si>
  <si>
    <t>h1</t>
  </si>
  <si>
    <t>水泵保护液位</t>
  </si>
  <si>
    <t>h2</t>
  </si>
  <si>
    <t>集水池地面超高</t>
  </si>
  <si>
    <t>h3</t>
  </si>
  <si>
    <t>H</t>
  </si>
  <si>
    <t>集水池面积</t>
  </si>
  <si>
    <t>m2</t>
  </si>
  <si>
    <t>地基处理</t>
  </si>
  <si>
    <t>支护方案</t>
  </si>
  <si>
    <t>电气配置</t>
  </si>
  <si>
    <t>仪表配置</t>
  </si>
  <si>
    <t>采暖配置</t>
  </si>
  <si>
    <t>非满管流量计算表</t>
  </si>
  <si>
    <t>序号</t>
  </si>
  <si>
    <t>参数</t>
  </si>
  <si>
    <t>计算公式</t>
  </si>
  <si>
    <t>管内径</t>
  </si>
  <si>
    <t>D</t>
  </si>
  <si>
    <t>r</t>
  </si>
  <si>
    <t>坡度</t>
  </si>
  <si>
    <t>i</t>
  </si>
  <si>
    <t>粗糙系数</t>
  </si>
  <si>
    <t>充满度</t>
  </si>
  <si>
    <t>h/D</t>
  </si>
  <si>
    <t>半中心角余弦</t>
  </si>
  <si>
    <t>cosθ</t>
  </si>
  <si>
    <t>半中心角正弦</t>
  </si>
  <si>
    <t>sinθ</t>
  </si>
  <si>
    <t>半中心角</t>
  </si>
  <si>
    <t>θ</t>
  </si>
  <si>
    <t>弧度</t>
  </si>
  <si>
    <t>中心角</t>
  </si>
  <si>
    <t>2θ</t>
  </si>
  <si>
    <t>湿周弧度</t>
  </si>
  <si>
    <t>2π-2θ</t>
  </si>
  <si>
    <t>湿周</t>
  </si>
  <si>
    <t>C</t>
  </si>
  <si>
    <t>过水面积</t>
  </si>
  <si>
    <t>S</t>
  </si>
  <si>
    <r>
      <rPr>
        <sz val="11"/>
        <color indexed="8"/>
        <rFont val="宋体"/>
        <family val="3"/>
        <charset val="134"/>
      </rPr>
      <t>m</t>
    </r>
    <r>
      <rPr>
        <vertAlign val="superscript"/>
        <sz val="11"/>
        <color indexed="8"/>
        <rFont val="宋体"/>
        <family val="3"/>
        <charset val="134"/>
      </rPr>
      <t>2</t>
    </r>
  </si>
  <si>
    <t>水力半径</t>
  </si>
  <si>
    <t>R</t>
  </si>
  <si>
    <t>R=S/C</t>
  </si>
  <si>
    <t>h&gt;D/2</t>
  </si>
  <si>
    <t>流速</t>
  </si>
  <si>
    <t>V</t>
  </si>
  <si>
    <t>m/s</t>
  </si>
  <si>
    <t>污水管到最小流速0.6m/s,雨水管道和合流管道最小流速0.75m/s,非金属管道最大设计流速5m/s</t>
  </si>
  <si>
    <t>流量</t>
  </si>
  <si>
    <t>Q</t>
  </si>
  <si>
    <t>m3/s</t>
  </si>
  <si>
    <t>Q=VS</t>
  </si>
  <si>
    <r>
      <rPr>
        <sz val="11"/>
        <color indexed="8"/>
        <rFont val="宋体"/>
        <family val="3"/>
        <charset val="134"/>
      </rPr>
      <t>m</t>
    </r>
    <r>
      <rPr>
        <vertAlign val="superscript"/>
        <sz val="11"/>
        <color indexed="8"/>
        <rFont val="宋体"/>
        <family val="3"/>
        <charset val="134"/>
      </rPr>
      <t>3</t>
    </r>
    <r>
      <rPr>
        <sz val="11"/>
        <color indexed="8"/>
        <rFont val="宋体"/>
        <family val="3"/>
        <charset val="134"/>
      </rPr>
      <t>/d</t>
    </r>
  </si>
  <si>
    <r>
      <t>m</t>
    </r>
    <r>
      <rPr>
        <vertAlign val="superscript"/>
        <sz val="11"/>
        <color indexed="8"/>
        <rFont val="宋体"/>
        <family val="3"/>
        <charset val="134"/>
      </rPr>
      <t>3</t>
    </r>
    <r>
      <rPr>
        <sz val="11"/>
        <color indexed="8"/>
        <rFont val="宋体"/>
        <family val="3"/>
        <charset val="134"/>
      </rPr>
      <t>/h</t>
    </r>
  </si>
  <si>
    <t>管径或渠高</t>
  </si>
  <si>
    <t>最大设计充满度</t>
  </si>
  <si>
    <t>200~300</t>
  </si>
  <si>
    <t>350~450</t>
  </si>
  <si>
    <t>500~900</t>
  </si>
  <si>
    <t>≥1000</t>
  </si>
  <si>
    <t>h</t>
  </si>
  <si>
    <t>集水池深度</t>
    <phoneticPr fontId="12" type="noConversion"/>
  </si>
  <si>
    <t>集水池埋深</t>
    <phoneticPr fontId="12" type="noConversion"/>
  </si>
  <si>
    <t>m</t>
    <phoneticPr fontId="12" type="noConversion"/>
  </si>
  <si>
    <t>集水池高液位水深</t>
    <phoneticPr fontId="12" type="noConversion"/>
  </si>
  <si>
    <r>
      <rPr>
        <b/>
        <sz val="20"/>
        <color indexed="8"/>
        <rFont val="微软雅黑"/>
        <family val="2"/>
        <charset val="134"/>
      </rPr>
      <t>工艺专业</t>
    </r>
    <r>
      <rPr>
        <b/>
        <sz val="20"/>
        <color indexed="10"/>
        <rFont val="微软雅黑"/>
        <family val="2"/>
        <charset val="134"/>
      </rPr>
      <t>选择</t>
    </r>
    <r>
      <rPr>
        <b/>
        <sz val="20"/>
        <color indexed="8"/>
        <rFont val="微软雅黑"/>
        <family val="2"/>
        <charset val="134"/>
      </rPr>
      <t>使用，提资时可隐藏</t>
    </r>
  </si>
  <si>
    <t>单体名称</t>
  </si>
  <si>
    <t>建构筑物尺寸</t>
  </si>
  <si>
    <t>水深（m）</t>
  </si>
  <si>
    <t>数量</t>
  </si>
  <si>
    <t>结构形式</t>
  </si>
  <si>
    <t>基础形式</t>
  </si>
  <si>
    <t>基础或池底埋深（m）</t>
  </si>
  <si>
    <t>地基形式</t>
  </si>
  <si>
    <t>基坑支护</t>
  </si>
  <si>
    <t>降水/排水</t>
  </si>
  <si>
    <t>提资说明</t>
  </si>
  <si>
    <t>版本</t>
  </si>
  <si>
    <t>构筑物液位标高
（地面为0.00m）</t>
  </si>
  <si>
    <t>构（建）筑物标高
（地面为0.00m）</t>
  </si>
  <si>
    <t>工艺备注</t>
  </si>
  <si>
    <t>净长
（m）</t>
  </si>
  <si>
    <t>净宽
（m）</t>
  </si>
  <si>
    <t>高
（m）</t>
  </si>
  <si>
    <t>上游液位
（m）</t>
  </si>
  <si>
    <t>下游液位
（m）</t>
  </si>
  <si>
    <t>水头损失
（m）</t>
  </si>
  <si>
    <t>保护高度
（m）</t>
  </si>
  <si>
    <t>池底(地面)
（m）</t>
  </si>
  <si>
    <t>池顶(屋顶)
（m）</t>
  </si>
  <si>
    <t>粗格栅及提升泵站</t>
  </si>
  <si>
    <t>座</t>
  </si>
  <si>
    <t>A</t>
  </si>
  <si>
    <t>-</t>
  </si>
  <si>
    <t>集水池</t>
  </si>
  <si>
    <r>
      <rPr>
        <sz val="11"/>
        <color indexed="8"/>
        <rFont val="微软雅黑"/>
        <family val="2"/>
        <charset val="134"/>
      </rPr>
      <t>集水池容积V=105m</t>
    </r>
    <r>
      <rPr>
        <vertAlign val="superscript"/>
        <sz val="11"/>
        <color indexed="8"/>
        <rFont val="微软雅黑"/>
        <family val="2"/>
        <charset val="134"/>
      </rPr>
      <t>3</t>
    </r>
    <r>
      <rPr>
        <sz val="11"/>
        <color indexed="8"/>
        <rFont val="微软雅黑"/>
        <family val="2"/>
        <charset val="134"/>
      </rPr>
      <t xml:space="preserve">
＞最大泵5min停留时间</t>
    </r>
  </si>
  <si>
    <t>框架，地上</t>
  </si>
  <si>
    <t>电动葫芦Gn=2t
轨底标高4.6m
单泵单管，
提升水泵出口不设阀门</t>
  </si>
  <si>
    <t>设计说明中管道防腐漆膜厚度不正确。</t>
  </si>
  <si>
    <t>设备名称</t>
  </si>
  <si>
    <t>规格及型号</t>
  </si>
  <si>
    <t>台</t>
  </si>
  <si>
    <t>进水提升泵</t>
  </si>
  <si>
    <t>电动葫芦</t>
  </si>
  <si>
    <t>配套工字钢轨道长度及型号详见土建图纸</t>
  </si>
  <si>
    <t>1.1</t>
    <phoneticPr fontId="10" type="noConversion"/>
  </si>
  <si>
    <t>1.2</t>
    <phoneticPr fontId="10" type="noConversion"/>
  </si>
  <si>
    <t>起吊高度</t>
    <phoneticPr fontId="10" type="noConversion"/>
  </si>
  <si>
    <t>提升重量</t>
    <phoneticPr fontId="10" type="noConversion"/>
  </si>
  <si>
    <t>t</t>
    <phoneticPr fontId="10" type="noConversion"/>
  </si>
  <si>
    <t>m</t>
    <phoneticPr fontId="10" type="noConversion"/>
  </si>
  <si>
    <t>0..55</t>
    <phoneticPr fontId="12" type="noConversion"/>
  </si>
  <si>
    <t>1.5~2</t>
    <phoneticPr fontId="12" type="noConversion"/>
  </si>
  <si>
    <t>Q</t>
    <phoneticPr fontId="10" type="noConversion"/>
  </si>
  <si>
    <t>H</t>
    <phoneticPr fontId="10" type="noConversion"/>
  </si>
  <si>
    <t>N</t>
    <phoneticPr fontId="10" type="noConversion"/>
  </si>
  <si>
    <t>一</t>
    <phoneticPr fontId="10" type="noConversion"/>
  </si>
  <si>
    <t>扬程</t>
    <phoneticPr fontId="10" type="noConversion"/>
  </si>
  <si>
    <t>设计液位</t>
    <phoneticPr fontId="12" type="noConversion"/>
  </si>
  <si>
    <t>功率</t>
    <phoneticPr fontId="12" type="noConversion"/>
  </si>
  <si>
    <t>水泵数量</t>
    <phoneticPr fontId="12" type="noConversion"/>
  </si>
  <si>
    <t>n</t>
    <phoneticPr fontId="12" type="noConversion"/>
  </si>
  <si>
    <t>用</t>
    <phoneticPr fontId="10" type="noConversion"/>
  </si>
  <si>
    <t>备，2台变频</t>
    <phoneticPr fontId="10" type="noConversion"/>
  </si>
  <si>
    <t>起吊高度</t>
    <phoneticPr fontId="12" type="noConversion"/>
  </si>
  <si>
    <t>A</t>
    <phoneticPr fontId="10" type="noConversion"/>
  </si>
  <si>
    <t>焊接钢管</t>
    <phoneticPr fontId="10" type="noConversion"/>
  </si>
  <si>
    <t>管径</t>
    <phoneticPr fontId="12" type="noConversion"/>
  </si>
  <si>
    <t>材料</t>
    <phoneticPr fontId="10" type="noConversion"/>
  </si>
  <si>
    <t>规格</t>
    <phoneticPr fontId="10" type="noConversion"/>
  </si>
  <si>
    <t>单泵单管，无止回阀</t>
    <phoneticPr fontId="10" type="noConversion"/>
  </si>
  <si>
    <t>弯头</t>
    <phoneticPr fontId="10" type="noConversion"/>
  </si>
  <si>
    <t>个</t>
    <phoneticPr fontId="10" type="noConversion"/>
  </si>
  <si>
    <t>电动葫芦起吊能力</t>
    <phoneticPr fontId="12" type="noConversion"/>
  </si>
  <si>
    <t>集水池有效池容</t>
    <phoneticPr fontId="12" type="noConversion"/>
  </si>
  <si>
    <t>1.3</t>
  </si>
  <si>
    <t>泵站分为2格，用于停水检修</t>
    <phoneticPr fontId="10" type="noConversion"/>
  </si>
  <si>
    <t>铸铁镶铜方闸门</t>
    <phoneticPr fontId="10" type="noConversion"/>
  </si>
  <si>
    <t>闸门尺寸</t>
    <phoneticPr fontId="12" type="noConversion"/>
  </si>
  <si>
    <t>闸门尺寸取值</t>
    <phoneticPr fontId="12" type="noConversion"/>
  </si>
  <si>
    <t>1.4</t>
  </si>
  <si>
    <t>洞中心距离</t>
    <phoneticPr fontId="10" type="noConversion"/>
  </si>
  <si>
    <t>泵站分为2格，用于停水检修，两格之间</t>
    <phoneticPr fontId="10" type="noConversion"/>
  </si>
  <si>
    <t>葫芦功率</t>
    <phoneticPr fontId="12" type="noConversion"/>
  </si>
  <si>
    <t>kW</t>
    <phoneticPr fontId="12" type="noConversion"/>
  </si>
  <si>
    <t>T</t>
    <phoneticPr fontId="12" type="noConversion"/>
  </si>
  <si>
    <t>功率</t>
    <phoneticPr fontId="10" type="noConversion"/>
  </si>
  <si>
    <t>kw</t>
    <phoneticPr fontId="10" type="noConversion"/>
  </si>
  <si>
    <t>1.5+0.2</t>
    <phoneticPr fontId="12" type="noConversion"/>
  </si>
  <si>
    <t>3+0.4</t>
    <phoneticPr fontId="12" type="noConversion"/>
  </si>
  <si>
    <t>4.5+0.4</t>
    <phoneticPr fontId="12" type="noConversion"/>
  </si>
  <si>
    <t>7.5+0.8</t>
    <phoneticPr fontId="12" type="noConversion"/>
  </si>
  <si>
    <t>长宽比</t>
    <phoneticPr fontId="12" type="noConversion"/>
  </si>
  <si>
    <t>宽度</t>
    <phoneticPr fontId="12" type="noConversion"/>
  </si>
  <si>
    <t>长度</t>
    <phoneticPr fontId="12" type="noConversion"/>
  </si>
  <si>
    <t>提升泵房</t>
    <phoneticPr fontId="12" type="noConversion"/>
  </si>
  <si>
    <t>水深</t>
    <phoneticPr fontId="12" type="noConversion"/>
  </si>
  <si>
    <t>编号</t>
  </si>
  <si>
    <t>名称</t>
  </si>
  <si>
    <t>规格</t>
  </si>
  <si>
    <t>安装位置及显示位置</t>
  </si>
  <si>
    <t>套</t>
  </si>
  <si>
    <t>超声波液位计</t>
  </si>
  <si>
    <t>0~15m</t>
  </si>
  <si>
    <t>电磁流量计</t>
  </si>
  <si>
    <t>仪表控设备提资清单</t>
    <phoneticPr fontId="10" type="noConversion"/>
  </si>
  <si>
    <t>1</t>
    <phoneticPr fontId="10" type="noConversion"/>
  </si>
  <si>
    <t>2</t>
    <phoneticPr fontId="10" type="noConversion"/>
  </si>
  <si>
    <t>水泵出口</t>
    <phoneticPr fontId="10" type="noConversion"/>
  </si>
  <si>
    <t>集水池</t>
    <phoneticPr fontId="10" type="noConversion"/>
  </si>
  <si>
    <t>配水渠道</t>
    <phoneticPr fontId="12" type="noConversion"/>
  </si>
  <si>
    <t>钢筋混凝土，地下加盖</t>
    <phoneticPr fontId="12" type="noConversion"/>
  </si>
  <si>
    <t>配水渠宽度</t>
    <phoneticPr fontId="12" type="noConversion"/>
  </si>
  <si>
    <t>建构筑物标准化提资清单</t>
    <phoneticPr fontId="12" type="noConversion"/>
  </si>
  <si>
    <t>设备表</t>
    <phoneticPr fontId="10" type="noConversion"/>
  </si>
  <si>
    <t>二</t>
    <phoneticPr fontId="10" type="noConversion"/>
  </si>
  <si>
    <t>材料表</t>
    <phoneticPr fontId="10" type="noConversion"/>
  </si>
  <si>
    <t>细格栅进水渠道液面标高</t>
    <phoneticPr fontId="12" type="noConversion"/>
  </si>
  <si>
    <t>规模1~20万吨/天，1万吨的整数倍</t>
    <phoneticPr fontId="12" type="noConversion"/>
  </si>
  <si>
    <t>液位达到进水管道最大充满度，经过格栅后的水面标高</t>
    <phoneticPr fontId="12" type="noConversion"/>
  </si>
  <si>
    <t>硫化氢、氨气、甲烷检测仪</t>
    <phoneticPr fontId="10" type="noConversion"/>
  </si>
  <si>
    <t>集水池顶部</t>
    <phoneticPr fontId="10" type="noConversion"/>
  </si>
  <si>
    <t>停泵液位</t>
    <phoneticPr fontId="12" type="noConversion"/>
  </si>
  <si>
    <t>启泵液位</t>
    <phoneticPr fontId="12" type="noConversion"/>
  </si>
  <si>
    <t>常液位</t>
    <phoneticPr fontId="12" type="noConversion"/>
  </si>
  <si>
    <t>高液位</t>
    <phoneticPr fontId="12" type="noConversion"/>
  </si>
  <si>
    <t>报警液位</t>
    <phoneticPr fontId="12" type="noConversion"/>
  </si>
  <si>
    <t>停泵</t>
    <phoneticPr fontId="12" type="noConversion"/>
  </si>
  <si>
    <t>启动一台泵</t>
    <phoneticPr fontId="12" type="noConversion"/>
  </si>
  <si>
    <t>启动备用泵</t>
    <phoneticPr fontId="12" type="noConversion"/>
  </si>
  <si>
    <t>均值流量启泵数量</t>
    <phoneticPr fontId="12" type="noConversion"/>
  </si>
  <si>
    <t>台</t>
    <phoneticPr fontId="12" type="noConversion"/>
  </si>
  <si>
    <t>除备用泵外所有泵</t>
    <phoneticPr fontId="12" type="noConversion"/>
  </si>
  <si>
    <t>停所有泵</t>
    <phoneticPr fontId="10" type="noConversion"/>
  </si>
  <si>
    <t>启动1台泵</t>
    <phoneticPr fontId="10" type="noConversion"/>
  </si>
  <si>
    <t>液位</t>
    <phoneticPr fontId="10" type="noConversion"/>
  </si>
  <si>
    <t>标高</t>
    <phoneticPr fontId="10" type="noConversion"/>
  </si>
  <si>
    <t>单位</t>
    <phoneticPr fontId="10" type="noConversion"/>
  </si>
  <si>
    <t>启泵数量</t>
    <phoneticPr fontId="10" type="noConversion"/>
  </si>
  <si>
    <t>2台变频</t>
    <phoneticPr fontId="10" type="noConversion"/>
  </si>
  <si>
    <t>变频</t>
    <phoneticPr fontId="10" type="noConversion"/>
  </si>
  <si>
    <t>1台变频</t>
    <phoneticPr fontId="10" type="noConversion"/>
  </si>
  <si>
    <t>编号</t>
    <phoneticPr fontId="12" type="noConversion"/>
  </si>
  <si>
    <t>H</t>
    <phoneticPr fontId="12" type="noConversion"/>
  </si>
  <si>
    <t>START</t>
    <phoneticPr fontId="12" type="noConversion"/>
  </si>
  <si>
    <t>L</t>
    <phoneticPr fontId="12" type="noConversion"/>
  </si>
  <si>
    <t>B</t>
    <phoneticPr fontId="12" type="noConversion"/>
  </si>
  <si>
    <t>挡水水槽</t>
    <phoneticPr fontId="12" type="noConversion"/>
  </si>
  <si>
    <t>b</t>
    <phoneticPr fontId="12" type="noConversion"/>
  </si>
  <si>
    <t>*b</t>
    <phoneticPr fontId="12" type="noConversion"/>
  </si>
  <si>
    <t>CLOSE</t>
    <phoneticPr fontId="12" type="noConversion"/>
  </si>
  <si>
    <t>WORKING</t>
    <phoneticPr fontId="12" type="noConversion"/>
  </si>
  <si>
    <t>HIGH</t>
    <phoneticPr fontId="12" type="noConversion"/>
  </si>
  <si>
    <t xml:space="preserve"> ALARM</t>
    <phoneticPr fontId="12" type="noConversion"/>
  </si>
  <si>
    <t>h</t>
    <phoneticPr fontId="12" type="noConversion"/>
  </si>
  <si>
    <t>泵房梁底净高度</t>
    <phoneticPr fontId="12" type="noConversion"/>
  </si>
  <si>
    <t>N</t>
    <phoneticPr fontId="12" type="noConversion"/>
  </si>
  <si>
    <t>n1</t>
    <phoneticPr fontId="12" type="noConversion"/>
  </si>
  <si>
    <t>n2</t>
    <phoneticPr fontId="12" type="noConversion"/>
  </si>
  <si>
    <t>Q</t>
    <phoneticPr fontId="12" type="noConversion"/>
  </si>
  <si>
    <t>Qh</t>
    <phoneticPr fontId="12" type="noConversion"/>
  </si>
  <si>
    <t>h1</t>
    <phoneticPr fontId="12" type="noConversion"/>
  </si>
  <si>
    <t>h2</t>
    <phoneticPr fontId="12" type="noConversion"/>
  </si>
  <si>
    <t>h3</t>
    <phoneticPr fontId="12" type="noConversion"/>
  </si>
  <si>
    <t>h4</t>
  </si>
  <si>
    <t>高液位水深</t>
    <phoneticPr fontId="12" type="noConversion"/>
  </si>
  <si>
    <t>"=输入"</t>
    <phoneticPr fontId="12" type="noConversion"/>
  </si>
  <si>
    <t>Qz</t>
    <phoneticPr fontId="12" type="noConversion"/>
  </si>
  <si>
    <t>YC5</t>
    <phoneticPr fontId="12" type="noConversion"/>
  </si>
  <si>
    <t>扬程5m</t>
    <phoneticPr fontId="12" type="noConversion"/>
  </si>
  <si>
    <t>扬程8m</t>
    <phoneticPr fontId="12" type="noConversion"/>
  </si>
  <si>
    <t>扬程12m</t>
    <phoneticPr fontId="12" type="noConversion"/>
  </si>
  <si>
    <t>YC8</t>
    <phoneticPr fontId="12" type="noConversion"/>
  </si>
  <si>
    <t>YC12</t>
    <phoneticPr fontId="12" type="noConversion"/>
  </si>
  <si>
    <t>电机功率5</t>
    <phoneticPr fontId="12" type="noConversion"/>
  </si>
  <si>
    <t>电机功率8</t>
    <phoneticPr fontId="12" type="noConversion"/>
  </si>
  <si>
    <t>电机功率12</t>
    <phoneticPr fontId="12" type="noConversion"/>
  </si>
  <si>
    <t>N5</t>
    <phoneticPr fontId="12" type="noConversion"/>
  </si>
  <si>
    <t>N8</t>
    <phoneticPr fontId="12" type="noConversion"/>
  </si>
  <si>
    <t>N12</t>
    <phoneticPr fontId="12" type="noConversion"/>
  </si>
  <si>
    <t>Dz</t>
    <phoneticPr fontId="12" type="noConversion"/>
  </si>
  <si>
    <t>Nc</t>
    <phoneticPr fontId="12" type="noConversion"/>
  </si>
  <si>
    <t>Di</t>
    <phoneticPr fontId="12" type="noConversion"/>
  </si>
  <si>
    <t>CL</t>
    <phoneticPr fontId="12" type="noConversion"/>
  </si>
  <si>
    <t>出水管道中心标高</t>
    <phoneticPr fontId="12" type="noConversion"/>
  </si>
  <si>
    <t>hf</t>
    <phoneticPr fontId="12" type="noConversion"/>
  </si>
  <si>
    <t>冻土深度</t>
    <phoneticPr fontId="12" type="noConversion"/>
  </si>
  <si>
    <t>按实地</t>
    <phoneticPr fontId="12" type="noConversion"/>
  </si>
  <si>
    <t>Dk</t>
    <phoneticPr fontId="12" type="noConversion"/>
  </si>
  <si>
    <t>配水孔数量</t>
    <phoneticPr fontId="12" type="noConversion"/>
  </si>
  <si>
    <t>-1*(H-h3-h4)+2.4</t>
  </si>
  <si>
    <t>-1*(H-h3-h4)+1.8</t>
  </si>
  <si>
    <t>-1*(H-h3-h4)+1.2</t>
  </si>
  <si>
    <t>-1*(H-h3-h4)+0.6</t>
  </si>
  <si>
    <t>-1*(H-h3-h4)</t>
  </si>
  <si>
    <t>-1*(hf+0.5*Di)</t>
  </si>
  <si>
    <t>nk</t>
    <phoneticPr fontId="12" type="noConversion"/>
  </si>
  <si>
    <t>配水孔尺寸</t>
    <phoneticPr fontId="12" type="noConversion"/>
  </si>
  <si>
    <t>hc</t>
    <phoneticPr fontId="12" type="noConversion"/>
  </si>
  <si>
    <t>输入</t>
    <phoneticPr fontId="28" type="noConversion"/>
  </si>
  <si>
    <t>输出</t>
    <phoneticPr fontId="28" type="noConversion"/>
  </si>
  <si>
    <t>旧</t>
    <phoneticPr fontId="28" type="noConversion"/>
  </si>
  <si>
    <t>平均流量（L/S）</t>
  </si>
  <si>
    <t>总变化系数Kz</t>
    <phoneticPr fontId="28" type="noConversion"/>
  </si>
  <si>
    <t>Q=</t>
    <phoneticPr fontId="28" type="noConversion"/>
  </si>
  <si>
    <r>
      <t>m</t>
    </r>
    <r>
      <rPr>
        <vertAlign val="superscript"/>
        <sz val="12"/>
        <rFont val="华文细黑"/>
        <family val="3"/>
        <charset val="134"/>
      </rPr>
      <t>3</t>
    </r>
    <r>
      <rPr>
        <sz val="12"/>
        <rFont val="华文细黑"/>
        <family val="3"/>
        <charset val="134"/>
      </rPr>
      <t>/d</t>
    </r>
    <phoneticPr fontId="28" type="noConversion"/>
  </si>
  <si>
    <t>L/S</t>
    <phoneticPr fontId="28" type="noConversion"/>
  </si>
  <si>
    <t>Kz=</t>
    <phoneticPr fontId="28" type="noConversion"/>
  </si>
  <si>
    <t>新</t>
    <phoneticPr fontId="28" type="noConversion"/>
  </si>
  <si>
    <t>if函数保证当单元格为空时，不输出Kz值</t>
    <phoneticPr fontId="28" type="noConversion"/>
  </si>
  <si>
    <t>函数原理：</t>
    <phoneticPr fontId="28" type="noConversion"/>
  </si>
  <si>
    <t>iferror函数保证输入的不是数值型数据提醒输入正确的流量，</t>
    <phoneticPr fontId="28" type="noConversion"/>
  </si>
  <si>
    <t>ifs函数保证当数值未在取值范围时，取相应的上限或下限值</t>
    <phoneticPr fontId="28" type="noConversion"/>
  </si>
  <si>
    <t>trend函数返回线性结果，其公式为（要输出的结果取值区域，要输入的结果取值区域，已知的输入结果）</t>
    <phoneticPr fontId="28" type="noConversion"/>
  </si>
  <si>
    <t>match函数（找什么，在区域找，精确还是粗略查找（可不填,，默认为1，即当找不到合适的数值时，输出这个数的下限值，精确查找可直接填0，若想输出上限值则输入-1）</t>
    <phoneticPr fontId="28" type="noConversion"/>
  </si>
  <si>
    <t>offset函数（坐标系初始位置，向下几个单元格，向右移动几个单元格，几行，几列）</t>
    <phoneticPr fontId="28" type="noConversion"/>
  </si>
  <si>
    <t>实例展示：</t>
    <phoneticPr fontId="28" type="noConversion"/>
  </si>
  <si>
    <t xml:space="preserve">1、找出所求的值在哪个范围，如115在从上到下第五个单元格 </t>
    <phoneticPr fontId="28" type="noConversion"/>
  </si>
  <si>
    <t>MATCH(F7,B6:B13)</t>
    <phoneticPr fontId="28" type="noConversion"/>
  </si>
  <si>
    <t>=</t>
    <phoneticPr fontId="28" type="noConversion"/>
  </si>
  <si>
    <t xml:space="preserve">2、trend函数使用：要输出的结果区域，即为c6:c13区域中的两格 
</t>
    <phoneticPr fontId="28" type="noConversion"/>
  </si>
  <si>
    <t>TREND(C10:C11,B10:B11,F7)</t>
    <phoneticPr fontId="28" type="noConversion"/>
  </si>
  <si>
    <t xml:space="preserve"> 输入结果区域，b列中的两格，</t>
    <phoneticPr fontId="28" type="noConversion"/>
  </si>
  <si>
    <t>要新查找的x值即为F7</t>
    <phoneticPr fontId="28" type="noConversion"/>
  </si>
  <si>
    <t>3、offset函数</t>
    <phoneticPr fontId="28" type="noConversion"/>
  </si>
  <si>
    <t>结合trend函数使用，trend函数第一个应该是输出结果，所以，应该在对应的c列</t>
    <phoneticPr fontId="28" type="noConversion"/>
  </si>
  <si>
    <t>第一个参数，选择C5作为初始的坐标系起点，表示，从这一列开始</t>
    <phoneticPr fontId="28" type="noConversion"/>
  </si>
  <si>
    <t>第二参数，即要到哪一行，结合match函数，我们要调到其所求x值得下限区间起点，</t>
    <phoneticPr fontId="28" type="noConversion"/>
  </si>
  <si>
    <t>第三个参数，不再进行行变换，用","跳过</t>
    <phoneticPr fontId="28" type="noConversion"/>
  </si>
  <si>
    <t>第四个参数，此参数为行取值范围，2即为从C到D，此处为列，此值不取，用","跳过</t>
    <phoneticPr fontId="28" type="noConversion"/>
  </si>
  <si>
    <t>第五个参数，此参数为列取值范围，2即为从11,12，此处输入数字2</t>
    <phoneticPr fontId="28" type="noConversion"/>
  </si>
  <si>
    <t>重复上面的offset函数给第二输入结果区域进行赋值，在在最后输入要计算的x值，即为F7，可得结果</t>
    <phoneticPr fontId="28" type="noConversion"/>
  </si>
  <si>
    <t>OFFSET(C5,MATCH(F7,B6:B13),,2)=</t>
    <phoneticPr fontId="28" type="noConversion"/>
  </si>
  <si>
    <t>x</t>
    <phoneticPr fontId="30" type="noConversion"/>
  </si>
  <si>
    <t>验证过程</t>
    <phoneticPr fontId="28" type="noConversion"/>
  </si>
  <si>
    <r>
      <rPr>
        <sz val="12"/>
        <color indexed="8"/>
        <rFont val="微软雅黑 Light"/>
        <family val="2"/>
        <charset val="134"/>
      </rPr>
      <t>平均流量（</t>
    </r>
    <r>
      <rPr>
        <sz val="12"/>
        <color indexed="8"/>
        <rFont val="Times New Roman"/>
        <family val="1"/>
      </rPr>
      <t>L/S</t>
    </r>
    <r>
      <rPr>
        <sz val="12"/>
        <color indexed="8"/>
        <rFont val="微软雅黑 Light"/>
        <family val="2"/>
        <charset val="134"/>
      </rPr>
      <t>）</t>
    </r>
  </si>
  <si>
    <r>
      <rPr>
        <sz val="12"/>
        <color indexed="8"/>
        <rFont val="微软雅黑 Light"/>
        <family val="2"/>
        <charset val="134"/>
      </rPr>
      <t>总变化系数</t>
    </r>
    <r>
      <rPr>
        <sz val="12"/>
        <color indexed="8"/>
        <rFont val="Times New Roman"/>
        <family val="1"/>
      </rPr>
      <t>Kz</t>
    </r>
    <phoneticPr fontId="28" type="noConversion"/>
  </si>
  <si>
    <t>1.5-x</t>
    <phoneticPr fontId="30" type="noConversion"/>
  </si>
  <si>
    <t>x-1.6</t>
    <phoneticPr fontId="30" type="noConversion"/>
  </si>
  <si>
    <t>84.25926x-84.25926*1.6=1.5*15.74074-15.74074x</t>
    <phoneticPr fontId="30" type="noConversion"/>
  </si>
  <si>
    <t>与上述结果计算过程一致</t>
    <phoneticPr fontId="28" type="noConversion"/>
  </si>
  <si>
    <t>输入（I）</t>
    <phoneticPr fontId="12" type="noConversion"/>
  </si>
  <si>
    <t>输出（O)</t>
    <phoneticPr fontId="12" type="noConversion"/>
  </si>
  <si>
    <t>与集水池等长</t>
    <phoneticPr fontId="12" type="noConversion"/>
  </si>
  <si>
    <t>梁底净高</t>
    <phoneticPr fontId="12" type="noConversion"/>
  </si>
  <si>
    <t>集水池长</t>
    <phoneticPr fontId="12" type="noConversion"/>
  </si>
  <si>
    <t>泵房长</t>
    <phoneticPr fontId="12" type="noConversion"/>
  </si>
  <si>
    <t>泵房宽</t>
    <phoneticPr fontId="12" type="noConversion"/>
  </si>
  <si>
    <t>泵房高</t>
    <phoneticPr fontId="12" type="noConversion"/>
  </si>
  <si>
    <t>集水池宽</t>
    <phoneticPr fontId="12" type="noConversion"/>
  </si>
  <si>
    <t>集水池高</t>
    <phoneticPr fontId="12" type="noConversion"/>
  </si>
  <si>
    <t>导图</t>
    <phoneticPr fontId="12" type="noConversion"/>
  </si>
  <si>
    <t>投资</t>
    <phoneticPr fontId="12" type="noConversion"/>
  </si>
  <si>
    <t>运行成本</t>
    <phoneticPr fontId="12" type="noConversion"/>
  </si>
  <si>
    <t>建、构筑物</t>
    <phoneticPr fontId="12" type="noConversion"/>
  </si>
  <si>
    <t>提升泵</t>
    <phoneticPr fontId="12" type="noConversion"/>
  </si>
  <si>
    <t>数量</t>
    <phoneticPr fontId="12" type="noConversion"/>
  </si>
  <si>
    <t>主要设备</t>
    <phoneticPr fontId="12" type="noConversion"/>
  </si>
  <si>
    <t>标准图\101-工艺-粗格栅及提升泵站-产品图.dwg</t>
  </si>
  <si>
    <t>元/t</t>
    <phoneticPr fontId="12" type="noConversion"/>
  </si>
  <si>
    <t>泵位</t>
    <phoneticPr fontId="12" type="noConversion"/>
  </si>
  <si>
    <t>左泵室泵位</t>
  </si>
  <si>
    <t>左泵室泵位</t>
    <phoneticPr fontId="12" type="noConversion"/>
  </si>
  <si>
    <t>右泵室泵位</t>
  </si>
  <si>
    <t>右泵室泵位</t>
    <phoneticPr fontId="12" type="noConversion"/>
  </si>
  <si>
    <t>nl</t>
  </si>
  <si>
    <t>nl</t>
    <phoneticPr fontId="12" type="noConversion"/>
  </si>
  <si>
    <t>nr</t>
  </si>
  <si>
    <t>nr</t>
    <phoneticPr fontId="12" type="noConversion"/>
  </si>
  <si>
    <t>Ll</t>
  </si>
  <si>
    <t>Ll</t>
    <phoneticPr fontId="12" type="noConversion"/>
  </si>
  <si>
    <t>Lr</t>
  </si>
  <si>
    <t>Lr</t>
    <phoneticPr fontId="12" type="noConversion"/>
  </si>
  <si>
    <t>b'</t>
  </si>
  <si>
    <t>b'</t>
    <phoneticPr fontId="12" type="noConversion"/>
  </si>
  <si>
    <t>隔墙宽度</t>
  </si>
  <si>
    <t>隔墙宽度</t>
    <phoneticPr fontId="12" type="noConversion"/>
  </si>
  <si>
    <t>左泵室长度</t>
  </si>
  <si>
    <t>左泵室长度</t>
    <phoneticPr fontId="12" type="noConversion"/>
  </si>
  <si>
    <t>右泵室长度</t>
  </si>
  <si>
    <t>右泵室长度</t>
    <phoneticPr fontId="12" type="noConversion"/>
  </si>
  <si>
    <t>需结构核算</t>
    <phoneticPr fontId="12" type="noConversion"/>
  </si>
  <si>
    <t>Qh</t>
  </si>
  <si>
    <t>Qz</t>
  </si>
  <si>
    <t>n1</t>
  </si>
  <si>
    <t>n2</t>
  </si>
  <si>
    <t>N</t>
  </si>
  <si>
    <t>水泵数量</t>
  </si>
  <si>
    <t>YC5</t>
  </si>
  <si>
    <t>扬程5m</t>
  </si>
  <si>
    <t>YC8</t>
  </si>
  <si>
    <t>扬程8m</t>
  </si>
  <si>
    <t>YC12</t>
  </si>
  <si>
    <t>扬程12m</t>
  </si>
  <si>
    <t>N5</t>
  </si>
  <si>
    <t>电机功率5</t>
  </si>
  <si>
    <t>N8</t>
  </si>
  <si>
    <t>电机功率8</t>
  </si>
  <si>
    <t>N12</t>
  </si>
  <si>
    <t>电机功率12</t>
  </si>
  <si>
    <t>Dz</t>
  </si>
  <si>
    <t>闸门尺寸取值</t>
  </si>
  <si>
    <t>T</t>
  </si>
  <si>
    <t>电动葫芦起吊能力</t>
  </si>
  <si>
    <t>Nc</t>
  </si>
  <si>
    <t>葫芦功率</t>
  </si>
  <si>
    <t>1.5+0.2</t>
  </si>
  <si>
    <t>3+0.4</t>
  </si>
  <si>
    <t>4.5+0.4</t>
  </si>
  <si>
    <t>7.5+0.8</t>
  </si>
  <si>
    <t>Di</t>
  </si>
  <si>
    <t>管径</t>
  </si>
  <si>
    <t>高液位水深</t>
  </si>
  <si>
    <t>"=输入"</t>
  </si>
  <si>
    <t>集水池深度</t>
  </si>
  <si>
    <t>hc</t>
  </si>
  <si>
    <t>起吊高度</t>
  </si>
  <si>
    <t>b</t>
  </si>
  <si>
    <t>配水渠宽度</t>
  </si>
  <si>
    <t>*b</t>
  </si>
  <si>
    <t>挡水水槽</t>
  </si>
  <si>
    <t>泵房梁底净高度</t>
  </si>
  <si>
    <t>nk</t>
  </si>
  <si>
    <t>配水孔数量</t>
  </si>
  <si>
    <t>Dk</t>
  </si>
  <si>
    <t>配水孔尺寸</t>
  </si>
  <si>
    <t xml:space="preserve"> ALARM</t>
  </si>
  <si>
    <t>报警液位</t>
  </si>
  <si>
    <t>HIGH</t>
  </si>
  <si>
    <t>高液位</t>
  </si>
  <si>
    <t>WORKING</t>
  </si>
  <si>
    <t>常液位</t>
  </si>
  <si>
    <t>START</t>
  </si>
  <si>
    <t>启泵液位</t>
  </si>
  <si>
    <t>CLOSE</t>
  </si>
  <si>
    <t>停泵液位</t>
  </si>
  <si>
    <t>hf</t>
  </si>
  <si>
    <t>冻土深度</t>
  </si>
  <si>
    <t>按实地</t>
  </si>
  <si>
    <t>CL</t>
  </si>
  <si>
    <t>出水管道中心标高</t>
  </si>
  <si>
    <t>闸门数量</t>
    <phoneticPr fontId="12" type="noConversion"/>
  </si>
  <si>
    <t>变频器数量</t>
    <phoneticPr fontId="12" type="noConversion"/>
  </si>
  <si>
    <t>新</t>
    <phoneticPr fontId="10" type="noConversion"/>
  </si>
  <si>
    <t>总变化系数Kz</t>
    <phoneticPr fontId="10" type="noConversion"/>
  </si>
  <si>
    <t>Q=</t>
    <phoneticPr fontId="10" type="noConversion"/>
  </si>
  <si>
    <r>
      <t>m</t>
    </r>
    <r>
      <rPr>
        <vertAlign val="superscript"/>
        <sz val="12"/>
        <rFont val="华文细黑"/>
        <family val="3"/>
        <charset val="134"/>
      </rPr>
      <t>3</t>
    </r>
    <r>
      <rPr>
        <sz val="12"/>
        <rFont val="华文细黑"/>
        <family val="3"/>
        <charset val="134"/>
      </rPr>
      <t>/d</t>
    </r>
    <phoneticPr fontId="10" type="noConversion"/>
  </si>
  <si>
    <t>L/S</t>
    <phoneticPr fontId="10" type="noConversion"/>
  </si>
  <si>
    <t>Kz=</t>
    <phoneticPr fontId="10" type="noConversion"/>
  </si>
  <si>
    <t>g</t>
    <phoneticPr fontId="12" type="noConversion"/>
  </si>
  <si>
    <t>模块型号</t>
    <phoneticPr fontId="36" type="noConversion"/>
  </si>
  <si>
    <t>专业</t>
    <phoneticPr fontId="36" type="noConversion"/>
  </si>
  <si>
    <t>输入数据</t>
    <phoneticPr fontId="36" type="noConversion"/>
  </si>
  <si>
    <t>项目</t>
    <phoneticPr fontId="36" type="noConversion"/>
  </si>
  <si>
    <t>数量/数值</t>
    <phoneticPr fontId="36" type="noConversion"/>
  </si>
  <si>
    <t>单位</t>
    <phoneticPr fontId="36" type="noConversion"/>
  </si>
  <si>
    <t>设计输入</t>
    <phoneticPr fontId="36" type="noConversion"/>
  </si>
  <si>
    <t>进水流量（万m3/d）</t>
    <phoneticPr fontId="36" type="noConversion"/>
  </si>
  <si>
    <t>万m3/d</t>
    <phoneticPr fontId="36" type="noConversion"/>
  </si>
  <si>
    <t>变化系数</t>
    <phoneticPr fontId="36" type="noConversion"/>
  </si>
  <si>
    <t>进水总管/产水总管平均流速</t>
    <phoneticPr fontId="36" type="noConversion"/>
  </si>
  <si>
    <t>进水总管高峰流速</t>
    <phoneticPr fontId="36" type="noConversion"/>
  </si>
  <si>
    <t>进水管数量</t>
    <phoneticPr fontId="36" type="noConversion"/>
  </si>
  <si>
    <t>进水总管尺寸D1</t>
    <phoneticPr fontId="36" type="noConversion"/>
  </si>
  <si>
    <t>m</t>
    <phoneticPr fontId="36" type="noConversion"/>
  </si>
  <si>
    <t>异径管</t>
    <phoneticPr fontId="10" type="noConversion"/>
  </si>
  <si>
    <t>法兰</t>
    <phoneticPr fontId="10" type="noConversion"/>
  </si>
  <si>
    <t>管道支架</t>
    <phoneticPr fontId="10" type="noConversion"/>
  </si>
  <si>
    <t>片</t>
    <phoneticPr fontId="10" type="noConversion"/>
  </si>
  <si>
    <t>参考03S402室内管道支架</t>
    <phoneticPr fontId="10" type="noConversion"/>
  </si>
  <si>
    <t>异径管和橡胶接头连接</t>
    <phoneticPr fontId="10" type="noConversion"/>
  </si>
  <si>
    <t>管道及壁厚</t>
    <phoneticPr fontId="12" type="noConversion"/>
  </si>
  <si>
    <t>DN</t>
    <phoneticPr fontId="12" type="noConversion"/>
  </si>
  <si>
    <t xml:space="preserve">D </t>
    <phoneticPr fontId="12" type="noConversion"/>
  </si>
  <si>
    <t>Q235A，1.0MPa，D</t>
    <phoneticPr fontId="10" type="noConversion"/>
  </si>
  <si>
    <t>Q235A，1.0MPa，DN</t>
    <phoneticPr fontId="10" type="noConversion"/>
  </si>
  <si>
    <t>325×8</t>
    <phoneticPr fontId="12" type="noConversion"/>
  </si>
  <si>
    <t>426×9</t>
    <phoneticPr fontId="12" type="noConversion"/>
  </si>
  <si>
    <t>480×9</t>
    <phoneticPr fontId="12" type="noConversion"/>
  </si>
  <si>
    <t>630×9</t>
  </si>
  <si>
    <t>630×9</t>
    <phoneticPr fontId="12" type="noConversion"/>
  </si>
  <si>
    <t>720×9</t>
  </si>
  <si>
    <t>720×9</t>
    <phoneticPr fontId="12" type="noConversion"/>
  </si>
  <si>
    <t>820×9</t>
  </si>
  <si>
    <t>820×9</t>
    <phoneticPr fontId="12" type="noConversion"/>
  </si>
  <si>
    <t>920×9</t>
    <phoneticPr fontId="12" type="noConversion"/>
  </si>
  <si>
    <t>顶部盖板尺寸</t>
    <phoneticPr fontId="12" type="noConversion"/>
  </si>
  <si>
    <t>a×b</t>
    <phoneticPr fontId="12" type="noConversion"/>
  </si>
  <si>
    <t>1.8×1.5</t>
    <phoneticPr fontId="12" type="noConversion"/>
  </si>
  <si>
    <t>f</t>
    <phoneticPr fontId="12" type="noConversion"/>
  </si>
  <si>
    <t>盖板洞口距离池壁</t>
    <phoneticPr fontId="12" type="noConversion"/>
  </si>
  <si>
    <t>□a×b</t>
    <phoneticPr fontId="12" type="noConversion"/>
  </si>
  <si>
    <t>柔性防水套管</t>
    <phoneticPr fontId="10" type="noConversion"/>
  </si>
  <si>
    <t>块</t>
    <phoneticPr fontId="10" type="noConversion"/>
  </si>
  <si>
    <t>参考图集02S404</t>
    <phoneticPr fontId="10" type="noConversion"/>
  </si>
  <si>
    <t>水泵吊装孔盖板</t>
    <phoneticPr fontId="10" type="noConversion"/>
  </si>
  <si>
    <t>检修盖板</t>
    <phoneticPr fontId="10" type="noConversion"/>
  </si>
  <si>
    <t>可曲挠橡胶接头</t>
    <phoneticPr fontId="10" type="noConversion"/>
  </si>
  <si>
    <t>压力等级1.0MPa</t>
    <phoneticPr fontId="10" type="noConversion"/>
  </si>
  <si>
    <t>GB/T 26121-2010，带法兰</t>
    <phoneticPr fontId="10" type="noConversion"/>
  </si>
  <si>
    <t>DN</t>
    <phoneticPr fontId="10" type="noConversion"/>
  </si>
  <si>
    <r>
      <t>m</t>
    </r>
    <r>
      <rPr>
        <vertAlign val="superscript"/>
        <sz val="12"/>
        <rFont val="宋体"/>
        <family val="3"/>
        <charset val="134"/>
      </rPr>
      <t>2</t>
    </r>
    <phoneticPr fontId="10" type="noConversion"/>
  </si>
  <si>
    <t>GB T12459-2009，碳钢防腐</t>
    <phoneticPr fontId="10" type="noConversion"/>
  </si>
  <si>
    <t>格栅宽度</t>
    <phoneticPr fontId="12" type="noConversion"/>
  </si>
  <si>
    <t>长宽比调整</t>
    <phoneticPr fontId="12" type="noConversion"/>
  </si>
  <si>
    <t>隔墙</t>
    <phoneticPr fontId="12" type="noConversion"/>
  </si>
  <si>
    <t>总宽度</t>
    <phoneticPr fontId="12" type="noConversion"/>
  </si>
  <si>
    <t>泵站长宽比</t>
    <phoneticPr fontId="12" type="noConversion"/>
  </si>
  <si>
    <t>□a×b</t>
  </si>
  <si>
    <t>顶部盖板尺寸</t>
  </si>
  <si>
    <t>a×b</t>
  </si>
  <si>
    <t>1.8×1</t>
  </si>
  <si>
    <t>1.8×1.2</t>
  </si>
  <si>
    <t>1.8×1.5</t>
  </si>
  <si>
    <t>f</t>
  </si>
  <si>
    <t>盖板洞口距离池壁</t>
  </si>
  <si>
    <t>洞口尺寸：</t>
    <phoneticPr fontId="10" type="noConversion"/>
  </si>
  <si>
    <t>洞口尺寸：1.2×0.8m2</t>
    <phoneticPr fontId="10" type="noConversion"/>
  </si>
  <si>
    <t>材质：热浸锌，盖板尺寸=洞口长、宽加卡槽宽度（长宽各增加100mm）</t>
    <phoneticPr fontId="10" type="noConversion"/>
  </si>
  <si>
    <t>1.5×1</t>
    <phoneticPr fontId="12" type="noConversion"/>
  </si>
  <si>
    <t>1.5×1.2</t>
  </si>
  <si>
    <t>1.5×1.2</t>
    <phoneticPr fontId="12" type="noConversion"/>
  </si>
  <si>
    <t>水泵出口管径</t>
    <phoneticPr fontId="12" type="noConversion"/>
  </si>
  <si>
    <t>一、设计输入</t>
    <phoneticPr fontId="61" type="noConversion"/>
  </si>
  <si>
    <t>二、判断性参数</t>
    <phoneticPr fontId="61" type="noConversion"/>
  </si>
  <si>
    <t>设计参数</t>
    <phoneticPr fontId="61" type="noConversion"/>
  </si>
  <si>
    <t>参数</t>
    <phoneticPr fontId="61" type="noConversion"/>
  </si>
  <si>
    <t>数值</t>
    <phoneticPr fontId="61" type="noConversion"/>
  </si>
  <si>
    <t>单位</t>
    <phoneticPr fontId="61" type="noConversion"/>
  </si>
  <si>
    <t>备注</t>
    <phoneticPr fontId="61" type="noConversion"/>
  </si>
  <si>
    <t>设计流量Q</t>
    <phoneticPr fontId="61" type="noConversion"/>
  </si>
  <si>
    <t>m3/d</t>
    <phoneticPr fontId="61" type="noConversion"/>
  </si>
  <si>
    <t>平均日流量</t>
    <phoneticPr fontId="61" type="noConversion"/>
  </si>
  <si>
    <t>L/s</t>
    <phoneticPr fontId="61" type="noConversion"/>
  </si>
  <si>
    <t>总变化系数Kz</t>
    <phoneticPr fontId="61" type="noConversion"/>
  </si>
  <si>
    <t>示例：</t>
    <phoneticPr fontId="61" type="noConversion"/>
  </si>
  <si>
    <t>必须输入参数</t>
    <phoneticPr fontId="61" type="noConversion"/>
  </si>
  <si>
    <t>可选型号</t>
    <phoneticPr fontId="61" type="noConversion"/>
  </si>
  <si>
    <t>谨慎调整参数</t>
    <phoneticPr fontId="61" type="noConversion"/>
  </si>
  <si>
    <t>报警</t>
    <phoneticPr fontId="61" type="noConversion"/>
  </si>
  <si>
    <t>最终型号</t>
    <phoneticPr fontId="61" type="noConversion"/>
  </si>
  <si>
    <t>尺寸</t>
    <phoneticPr fontId="61" type="noConversion"/>
  </si>
  <si>
    <t>MIN</t>
    <phoneticPr fontId="61" type="noConversion"/>
  </si>
  <si>
    <t>MAX</t>
    <phoneticPr fontId="61" type="noConversion"/>
  </si>
  <si>
    <t>m</t>
    <phoneticPr fontId="69" type="noConversion"/>
  </si>
  <si>
    <t>m</t>
    <phoneticPr fontId="61" type="noConversion"/>
  </si>
  <si>
    <t>2~3m，《室外排水设计标准GB50014-2021》P48</t>
    <phoneticPr fontId="61" type="noConversion"/>
  </si>
  <si>
    <t>峰值流量水平流速v1</t>
    <phoneticPr fontId="61" type="noConversion"/>
  </si>
  <si>
    <t>m/s</t>
    <phoneticPr fontId="61" type="noConversion"/>
  </si>
  <si>
    <t>不宜大于0.1m/s，《室外排水设计标准GB50014-2021》P48</t>
    <phoneticPr fontId="69" type="noConversion"/>
  </si>
  <si>
    <t>平均流量水平流速v2</t>
    <phoneticPr fontId="61" type="noConversion"/>
  </si>
  <si>
    <t>0.5~0.9m</t>
    <phoneticPr fontId="61" type="noConversion"/>
  </si>
  <si>
    <t>峰值流量停留时间t</t>
    <phoneticPr fontId="69" type="noConversion"/>
  </si>
  <si>
    <t>min</t>
    <phoneticPr fontId="69" type="noConversion"/>
  </si>
  <si>
    <t>宜大于5min，《室外排水设计标准GB50014-2021》P48</t>
    <phoneticPr fontId="69" type="noConversion"/>
  </si>
  <si>
    <t>旋流区宽B</t>
    <phoneticPr fontId="69" type="noConversion"/>
  </si>
  <si>
    <t>浮渣区宽b2</t>
    <phoneticPr fontId="61" type="noConversion"/>
  </si>
  <si>
    <t>隔墙厚b3</t>
    <phoneticPr fontId="61" type="noConversion"/>
  </si>
  <si>
    <t>单组总宽度C</t>
    <phoneticPr fontId="61" type="noConversion"/>
  </si>
  <si>
    <t>壁厚</t>
    <phoneticPr fontId="61" type="noConversion"/>
  </si>
  <si>
    <t>池总宽</t>
    <phoneticPr fontId="69" type="noConversion"/>
  </si>
  <si>
    <t>有效池长A</t>
    <phoneticPr fontId="61" type="noConversion"/>
  </si>
  <si>
    <t>出水渠长</t>
    <phoneticPr fontId="69" type="noConversion"/>
  </si>
  <si>
    <t>总池长</t>
    <phoneticPr fontId="69" type="noConversion"/>
  </si>
  <si>
    <t>单池容积</t>
    <phoneticPr fontId="69" type="noConversion"/>
  </si>
  <si>
    <t>m3</t>
    <phoneticPr fontId="69" type="noConversion"/>
  </si>
  <si>
    <t>隔墙低于液位距离h6</t>
    <phoneticPr fontId="61" type="noConversion"/>
  </si>
  <si>
    <t>过流洞高h7</t>
    <phoneticPr fontId="61" type="noConversion"/>
  </si>
  <si>
    <t>闸后进水渠道宽度尺寸G</t>
    <phoneticPr fontId="61" type="noConversion"/>
  </si>
  <si>
    <t>曝气干管立管中心距闸门迎水外侧距离H</t>
    <phoneticPr fontId="61" type="noConversion"/>
  </si>
  <si>
    <t>放空管中心距池体短边外侧距离I</t>
    <phoneticPr fontId="61" type="noConversion"/>
  </si>
  <si>
    <t>曝气干管立管中心距池顶面距离J</t>
    <phoneticPr fontId="61" type="noConversion"/>
  </si>
  <si>
    <t>曝气管中心距所在管廊墙内侧距离K</t>
    <phoneticPr fontId="61" type="noConversion"/>
  </si>
  <si>
    <t>曝气干管立管中心距闸前进水渠池壁外侧距离L</t>
    <phoneticPr fontId="61" type="noConversion"/>
  </si>
  <si>
    <t>邻近闸门进水孔洞间水平净距M</t>
    <phoneticPr fontId="61" type="noConversion"/>
  </si>
  <si>
    <t>池间距N</t>
    <phoneticPr fontId="61" type="noConversion"/>
  </si>
  <si>
    <t>闸后进水渠道长度尺寸P</t>
    <phoneticPr fontId="61" type="noConversion"/>
  </si>
  <si>
    <t>最远端曝气竖支管与曝气干管末端法兰盘外侧距离T</t>
    <phoneticPr fontId="61" type="noConversion"/>
  </si>
  <si>
    <t>曝气干管末端法兰盘与曝气管管廊末端内墙距离U</t>
    <phoneticPr fontId="61" type="noConversion"/>
  </si>
  <si>
    <t>曝气管管廊末端内墙与出水堰迎水侧外墙距离V</t>
    <phoneticPr fontId="61" type="noConversion"/>
  </si>
  <si>
    <t>闸后进水渠道水面与池顶板下底高差h9</t>
    <phoneticPr fontId="61" type="noConversion"/>
  </si>
  <si>
    <t>闸后进水渠道内超高h11</t>
    <phoneticPr fontId="61" type="noConversion"/>
  </si>
  <si>
    <t>出水堰堰上水头h12</t>
    <phoneticPr fontId="61" type="noConversion"/>
  </si>
  <si>
    <t>出水堰堰后跌水高度h13</t>
    <phoneticPr fontId="61" type="noConversion"/>
  </si>
  <si>
    <t>排渣撇渣渠顶与池内水位高差h14</t>
    <phoneticPr fontId="61" type="noConversion"/>
  </si>
  <si>
    <t>排渣非撇渣渠顶与池内水位高差h15</t>
    <phoneticPr fontId="61" type="noConversion"/>
  </si>
  <si>
    <t>排渣渠底部与池内水位高差h16</t>
    <phoneticPr fontId="61" type="noConversion"/>
  </si>
  <si>
    <t>出水管管底与池底高差h17</t>
    <phoneticPr fontId="61" type="noConversion"/>
  </si>
  <si>
    <t>集砂槽</t>
    <phoneticPr fontId="69" type="noConversion"/>
  </si>
  <si>
    <t>集砂槽底宽E</t>
    <phoneticPr fontId="61" type="noConversion"/>
  </si>
  <si>
    <t>集砂槽容积</t>
    <phoneticPr fontId="61" type="noConversion"/>
  </si>
  <si>
    <t>m3</t>
    <phoneticPr fontId="61" type="noConversion"/>
  </si>
  <si>
    <t>&gt;实际沉砂量</t>
    <phoneticPr fontId="61" type="noConversion"/>
  </si>
  <si>
    <t>集砂槽顶宽</t>
    <phoneticPr fontId="61" type="noConversion"/>
  </si>
  <si>
    <t>集砂槽截面积</t>
    <phoneticPr fontId="61" type="noConversion"/>
  </si>
  <si>
    <t>m2</t>
    <phoneticPr fontId="61" type="noConversion"/>
  </si>
  <si>
    <t>进水侧长边方向泥斗水平投影尺寸R</t>
    <phoneticPr fontId="69" type="noConversion"/>
  </si>
  <si>
    <t>出水侧长边方向泥斗水平投影尺寸S</t>
    <phoneticPr fontId="69" type="noConversion"/>
  </si>
  <si>
    <t>砂斗壁斜坡(短边)底距离斗底方槽近侧距离F</t>
  </si>
  <si>
    <t>砂斗壁斜坡(长边)底距栅区内隔墙外侧距离D</t>
    <phoneticPr fontId="69" type="noConversion"/>
  </si>
  <si>
    <t>集砂槽长</t>
    <phoneticPr fontId="61" type="noConversion"/>
  </si>
  <si>
    <t>缓冲区</t>
    <phoneticPr fontId="61" type="noConversion"/>
  </si>
  <si>
    <t>缓冲区底宽</t>
    <phoneticPr fontId="61" type="noConversion"/>
  </si>
  <si>
    <t>缓冲区顶宽</t>
    <phoneticPr fontId="61" type="noConversion"/>
  </si>
  <si>
    <t>斗壁斜边与进水侧池内壁夹角（池长方向）α1</t>
    <phoneticPr fontId="69" type="noConversion"/>
  </si>
  <si>
    <t>°</t>
    <phoneticPr fontId="61" type="noConversion"/>
  </si>
  <si>
    <t>斗壁斜边与出水侧池内壁夹角（池长方向）α2</t>
    <phoneticPr fontId="69" type="noConversion"/>
  </si>
  <si>
    <t>斗壁斜边（长边）与邻近池内壁夹角（池宽方向）α3</t>
    <phoneticPr fontId="61" type="noConversion"/>
  </si>
  <si>
    <t>斗壁斜边（短边）与邻近池内壁夹角（池宽方向）α4</t>
    <phoneticPr fontId="69" type="noConversion"/>
  </si>
  <si>
    <t>缓冲区截面积</t>
    <phoneticPr fontId="61" type="noConversion"/>
  </si>
  <si>
    <t>缓冲区体积</t>
    <phoneticPr fontId="61" type="noConversion"/>
  </si>
  <si>
    <t>砂粒</t>
    <phoneticPr fontId="61" type="noConversion"/>
  </si>
  <si>
    <t>污水沉砂量</t>
    <phoneticPr fontId="61" type="noConversion"/>
  </si>
  <si>
    <r>
      <t>L/m</t>
    </r>
    <r>
      <rPr>
        <vertAlign val="superscript"/>
        <sz val="10"/>
        <color theme="1"/>
        <rFont val="微软雅黑"/>
        <family val="2"/>
        <charset val="134"/>
      </rPr>
      <t>3</t>
    </r>
    <phoneticPr fontId="61" type="noConversion"/>
  </si>
  <si>
    <t>《室外排水设计标准GB50014-2021》P49</t>
    <phoneticPr fontId="61" type="noConversion"/>
  </si>
  <si>
    <t>排砂周期</t>
    <phoneticPr fontId="69" type="noConversion"/>
  </si>
  <si>
    <t>d</t>
    <phoneticPr fontId="69" type="noConversion"/>
  </si>
  <si>
    <t>实际沉砂量</t>
    <phoneticPr fontId="61" type="noConversion"/>
  </si>
  <si>
    <t>排砂时间</t>
  </si>
  <si>
    <t>砂水分离器实际最小处理能力</t>
    <phoneticPr fontId="61" type="noConversion"/>
  </si>
  <si>
    <t>还得满足吸砂装置流量配套</t>
  </si>
  <si>
    <t>供气系统</t>
    <phoneticPr fontId="61" type="noConversion"/>
  </si>
  <si>
    <t>单延米曝气量</t>
  </si>
  <si>
    <t>L/(m*s)</t>
    <phoneticPr fontId="61" type="noConversion"/>
  </si>
  <si>
    <t>曝气量宜为5~12L/(m*s)，《室外排水设计标准GB50014-2021》P48</t>
    <phoneticPr fontId="61" type="noConversion"/>
  </si>
  <si>
    <t>空气扩散装置距离池底以上高度</t>
    <phoneticPr fontId="61" type="noConversion"/>
  </si>
  <si>
    <t>空气扩散装置距离池底以上高度0.45~0.9m,手册P268</t>
    <phoneticPr fontId="61" type="noConversion"/>
  </si>
  <si>
    <t>单组供气量</t>
    <phoneticPr fontId="61" type="noConversion"/>
  </si>
  <si>
    <t>m3/min</t>
    <phoneticPr fontId="61" type="noConversion"/>
  </si>
  <si>
    <t>空气扩散装置距离有效水深以下高度</t>
    <phoneticPr fontId="61" type="noConversion"/>
  </si>
  <si>
    <t>空气扩散装置浸没水深h8</t>
    <phoneticPr fontId="61" type="noConversion"/>
  </si>
  <si>
    <t>总供气量</t>
    <phoneticPr fontId="61" type="noConversion"/>
  </si>
  <si>
    <t>气水比</t>
  </si>
  <si>
    <t>设备选型计算</t>
    <phoneticPr fontId="61" type="noConversion"/>
  </si>
  <si>
    <t>kW</t>
    <phoneticPr fontId="61" type="noConversion"/>
  </si>
  <si>
    <t>曝气风机工作数量</t>
    <phoneticPr fontId="61" type="noConversion"/>
  </si>
  <si>
    <t>台</t>
    <phoneticPr fontId="61" type="noConversion"/>
  </si>
  <si>
    <t>曝气风机备用数量</t>
    <phoneticPr fontId="61" type="noConversion"/>
  </si>
  <si>
    <t>单台风机需要风量</t>
    <phoneticPr fontId="61" type="noConversion"/>
  </si>
  <si>
    <t>m3/min</t>
  </si>
  <si>
    <t>管路损失</t>
    <phoneticPr fontId="61" type="noConversion"/>
  </si>
  <si>
    <t>设计压力</t>
    <phoneticPr fontId="61" type="noConversion"/>
  </si>
  <si>
    <t>风机效率</t>
    <phoneticPr fontId="61" type="noConversion"/>
  </si>
  <si>
    <t>传动装置效率</t>
    <phoneticPr fontId="69" type="noConversion"/>
  </si>
  <si>
    <t>曝气风机功率</t>
    <phoneticPr fontId="61" type="noConversion"/>
  </si>
  <si>
    <t>提砂风机风量</t>
    <phoneticPr fontId="69" type="noConversion"/>
  </si>
  <si>
    <t>提砂风机风压</t>
    <phoneticPr fontId="69" type="noConversion"/>
  </si>
  <si>
    <t>MPa</t>
    <phoneticPr fontId="69" type="noConversion"/>
  </si>
  <si>
    <t>提砂风机功率</t>
    <phoneticPr fontId="69" type="noConversion"/>
  </si>
  <si>
    <t>砂水分离器最小处理能力</t>
    <phoneticPr fontId="69" type="noConversion"/>
  </si>
  <si>
    <t>L/s</t>
    <phoneticPr fontId="69" type="noConversion"/>
  </si>
  <si>
    <t>砂水分离器最大处理能力</t>
    <phoneticPr fontId="69" type="noConversion"/>
  </si>
  <si>
    <t>螺旋直径</t>
    <phoneticPr fontId="69" type="noConversion"/>
  </si>
  <si>
    <t>mm</t>
    <phoneticPr fontId="69" type="noConversion"/>
  </si>
  <si>
    <t>砂水分离器转速</t>
    <phoneticPr fontId="69" type="noConversion"/>
  </si>
  <si>
    <t>rmp</t>
    <phoneticPr fontId="69" type="noConversion"/>
  </si>
  <si>
    <t>砂水分离器功率</t>
    <phoneticPr fontId="69" type="noConversion"/>
  </si>
  <si>
    <t>kw</t>
    <phoneticPr fontId="69" type="noConversion"/>
  </si>
  <si>
    <t>落砂高度</t>
    <phoneticPr fontId="69" type="noConversion"/>
  </si>
  <si>
    <t>砂水分离器工作数量</t>
    <phoneticPr fontId="61" type="noConversion"/>
  </si>
  <si>
    <t>台</t>
    <phoneticPr fontId="69" type="noConversion"/>
  </si>
  <si>
    <t>砂水分离器备用数量</t>
    <phoneticPr fontId="61" type="noConversion"/>
  </si>
  <si>
    <t>进水闸门宽</t>
    <phoneticPr fontId="69" type="noConversion"/>
  </si>
  <si>
    <t>峰值流量流速</t>
    <phoneticPr fontId="69" type="noConversion"/>
  </si>
  <si>
    <t>m/s</t>
    <phoneticPr fontId="69" type="noConversion"/>
  </si>
  <si>
    <t>闸后进水渠道内水深h10</t>
    <phoneticPr fontId="69" type="noConversion"/>
  </si>
  <si>
    <t>门体超高</t>
    <phoneticPr fontId="69" type="noConversion"/>
  </si>
  <si>
    <t>门体高</t>
    <phoneticPr fontId="69" type="noConversion"/>
  </si>
  <si>
    <t>承压水头</t>
    <phoneticPr fontId="69" type="noConversion"/>
  </si>
  <si>
    <t>kPa</t>
    <phoneticPr fontId="69" type="noConversion"/>
  </si>
  <si>
    <t>运砂小车容积</t>
    <phoneticPr fontId="69" type="noConversion"/>
  </si>
  <si>
    <t>管道管径</t>
    <phoneticPr fontId="61" type="noConversion"/>
  </si>
  <si>
    <t>最小设计流速0.6m/s</t>
    <phoneticPr fontId="61" type="noConversion"/>
  </si>
  <si>
    <t>mm</t>
    <phoneticPr fontId="61" type="noConversion"/>
  </si>
  <si>
    <t>排渣管管径d2</t>
    <phoneticPr fontId="61" type="noConversion"/>
  </si>
  <si>
    <t>排渣管长度</t>
    <phoneticPr fontId="69" type="noConversion"/>
  </si>
  <si>
    <t>m/座</t>
    <phoneticPr fontId="69" type="noConversion"/>
  </si>
  <si>
    <r>
      <t>排渣管90</t>
    </r>
    <r>
      <rPr>
        <sz val="10"/>
        <color theme="5"/>
        <rFont val="Arial"/>
        <family val="2"/>
      </rPr>
      <t>°</t>
    </r>
    <r>
      <rPr>
        <sz val="10"/>
        <color theme="5"/>
        <rFont val="微软雅黑"/>
        <family val="2"/>
        <charset val="134"/>
      </rPr>
      <t>弯头数量</t>
    </r>
    <phoneticPr fontId="69" type="noConversion"/>
  </si>
  <si>
    <t>个/座</t>
    <phoneticPr fontId="69" type="noConversion"/>
  </si>
  <si>
    <t>排砂管管径d3</t>
    <phoneticPr fontId="61" type="noConversion"/>
  </si>
  <si>
    <t>排砂管长度</t>
    <phoneticPr fontId="69" type="noConversion"/>
  </si>
  <si>
    <r>
      <t>排砂管90</t>
    </r>
    <r>
      <rPr>
        <sz val="10"/>
        <color theme="5"/>
        <rFont val="Arial"/>
        <family val="2"/>
      </rPr>
      <t>°</t>
    </r>
    <r>
      <rPr>
        <sz val="10"/>
        <color theme="5"/>
        <rFont val="微软雅黑"/>
        <family val="2"/>
        <charset val="134"/>
      </rPr>
      <t>弯头数量</t>
    </r>
    <phoneticPr fontId="69" type="noConversion"/>
  </si>
  <si>
    <t>放空时间</t>
    <phoneticPr fontId="61" type="noConversion"/>
  </si>
  <si>
    <t>h</t>
    <phoneticPr fontId="61" type="noConversion"/>
  </si>
  <si>
    <t>放空管流速</t>
    <phoneticPr fontId="61" type="noConversion"/>
  </si>
  <si>
    <t>放空管管径d4</t>
    <phoneticPr fontId="61" type="noConversion"/>
  </si>
  <si>
    <t>放空管长度</t>
    <phoneticPr fontId="69" type="noConversion"/>
  </si>
  <si>
    <r>
      <t>放空管90</t>
    </r>
    <r>
      <rPr>
        <sz val="10"/>
        <color theme="5"/>
        <rFont val="Arial"/>
        <family val="2"/>
      </rPr>
      <t>°</t>
    </r>
    <r>
      <rPr>
        <sz val="10"/>
        <color theme="5"/>
        <rFont val="微软雅黑"/>
        <family val="2"/>
        <charset val="134"/>
      </rPr>
      <t>弯头数量</t>
    </r>
    <phoneticPr fontId="69" type="noConversion"/>
  </si>
  <si>
    <t>曝气干管管径d5</t>
    <phoneticPr fontId="61" type="noConversion"/>
  </si>
  <si>
    <t>管道中空气流速</t>
    <phoneticPr fontId="61" type="noConversion"/>
  </si>
  <si>
    <t>干支管空气流速10~15m/s，《室外排水设计标准GB50014-2021》P71</t>
    <phoneticPr fontId="61" type="noConversion"/>
  </si>
  <si>
    <t>曝气干管长度</t>
    <phoneticPr fontId="69" type="noConversion"/>
  </si>
  <si>
    <t>m/座</t>
    <phoneticPr fontId="61" type="noConversion"/>
  </si>
  <si>
    <r>
      <t>曝气干管90</t>
    </r>
    <r>
      <rPr>
        <sz val="10"/>
        <color theme="5"/>
        <rFont val="Arial"/>
        <family val="2"/>
      </rPr>
      <t>°</t>
    </r>
    <r>
      <rPr>
        <sz val="10"/>
        <color theme="5"/>
        <rFont val="微软雅黑"/>
        <family val="2"/>
        <charset val="134"/>
      </rPr>
      <t>弯头数量</t>
    </r>
    <phoneticPr fontId="69" type="noConversion"/>
  </si>
  <si>
    <t>曝气支管管径d6</t>
    <phoneticPr fontId="61" type="noConversion"/>
  </si>
  <si>
    <t>曝气支管设置间距</t>
    <phoneticPr fontId="61" type="noConversion"/>
  </si>
  <si>
    <t>曝气支管数量</t>
    <phoneticPr fontId="69" type="noConversion"/>
  </si>
  <si>
    <t>根</t>
    <phoneticPr fontId="69" type="noConversion"/>
  </si>
  <si>
    <t>碳钢曝气支管单位长度</t>
    <phoneticPr fontId="69" type="noConversion"/>
  </si>
  <si>
    <t>m/根</t>
    <phoneticPr fontId="69" type="noConversion"/>
  </si>
  <si>
    <t>不锈钢曝气支管单位长度</t>
    <phoneticPr fontId="69" type="noConversion"/>
  </si>
  <si>
    <t>穿孔管长</t>
    <phoneticPr fontId="61" type="noConversion"/>
  </si>
  <si>
    <t>三、设计输出</t>
    <phoneticPr fontId="61" type="noConversion"/>
  </si>
  <si>
    <t>1、尺寸：</t>
    <phoneticPr fontId="61" type="noConversion"/>
  </si>
  <si>
    <t>2、设备配置清单（按模块型号匹配）：</t>
    <phoneticPr fontId="61" type="noConversion"/>
  </si>
  <si>
    <t>模块型号</t>
    <phoneticPr fontId="10" type="noConversion"/>
  </si>
  <si>
    <t>物资信息编码</t>
    <phoneticPr fontId="69" type="noConversion"/>
  </si>
  <si>
    <t>物资类别</t>
    <phoneticPr fontId="69" type="noConversion"/>
  </si>
  <si>
    <t>名称</t>
    <phoneticPr fontId="69" type="noConversion"/>
  </si>
  <si>
    <t>类别</t>
  </si>
  <si>
    <t>规格及型号</t>
    <phoneticPr fontId="69" type="noConversion"/>
  </si>
  <si>
    <t>材质</t>
    <phoneticPr fontId="61" type="noConversion"/>
  </si>
  <si>
    <t>备注</t>
    <phoneticPr fontId="69" type="noConversion"/>
  </si>
  <si>
    <t>2、设备配置清单（自定义）：</t>
    <phoneticPr fontId="61" type="noConversion"/>
  </si>
  <si>
    <t>自定义型号</t>
    <phoneticPr fontId="10" type="noConversion"/>
  </si>
  <si>
    <t>名  称</t>
    <phoneticPr fontId="69" type="noConversion"/>
  </si>
  <si>
    <t>技术参数</t>
    <phoneticPr fontId="69" type="noConversion"/>
  </si>
  <si>
    <t>材料</t>
    <phoneticPr fontId="61" type="noConversion"/>
  </si>
  <si>
    <t>单 位</t>
  </si>
  <si>
    <t>工艺设备</t>
  </si>
  <si>
    <t>手动渠道闸门</t>
  </si>
  <si>
    <t>SS304</t>
    <phoneticPr fontId="61" type="noConversion"/>
  </si>
  <si>
    <t>曝气沉砂池进口，配套手动启闭装置</t>
  </si>
  <si>
    <t>桥式吸砂机(双槽）</t>
  </si>
  <si>
    <t>水下部分SS304，工作桥碳钢防腐</t>
    <phoneticPr fontId="61" type="noConversion"/>
  </si>
  <si>
    <t>配套工作桥、轨道、撇渣装置、浮渣板、吸砂系统、栅板等。</t>
  </si>
  <si>
    <t>提砂风机</t>
  </si>
  <si>
    <t>每条渠道配1台，与吸砂机成套供货，配套止回阀、泄压阀、消音器、压力表</t>
  </si>
  <si>
    <t>砂水分离器</t>
  </si>
  <si>
    <t>曝气风机</t>
  </si>
  <si>
    <t>工艺材料</t>
  </si>
  <si>
    <t>涡轮传动法兰式蝶阀</t>
  </si>
  <si>
    <t>Q235B</t>
  </si>
  <si>
    <t>个</t>
  </si>
  <si>
    <t>双法兰可曲挠橡胶接头</t>
  </si>
  <si>
    <t>橡胶</t>
  </si>
  <si>
    <t>双法兰手动闸阀</t>
  </si>
  <si>
    <t>放空</t>
  </si>
  <si>
    <t>双法兰伸缩接头</t>
  </si>
  <si>
    <t>橡胶</t>
    <phoneticPr fontId="69" type="noConversion"/>
  </si>
  <si>
    <t>运砂小车</t>
  </si>
  <si>
    <t>主体材质碳钢防腐</t>
    <phoneticPr fontId="61" type="noConversion"/>
  </si>
  <si>
    <t>焊接钢管</t>
  </si>
  <si>
    <t>管道</t>
    <phoneticPr fontId="69" type="noConversion"/>
  </si>
  <si>
    <t>Q235B</t>
    <phoneticPr fontId="61" type="noConversion"/>
  </si>
  <si>
    <t>总出水</t>
  </si>
  <si>
    <t>排渣</t>
  </si>
  <si>
    <t>排砂</t>
  </si>
  <si>
    <t>曝气管</t>
  </si>
  <si>
    <t>曝气支管</t>
  </si>
  <si>
    <t>不锈钢管</t>
  </si>
  <si>
    <t>穿孔管</t>
  </si>
  <si>
    <t>根</t>
    <phoneticPr fontId="61" type="noConversion"/>
  </si>
  <si>
    <t>90°弯头</t>
  </si>
  <si>
    <t>管配件</t>
    <phoneticPr fontId="69" type="noConversion"/>
  </si>
  <si>
    <t>Q235B，详见02S403-08</t>
    <phoneticPr fontId="61" type="noConversion"/>
  </si>
  <si>
    <t>个</t>
    <phoneticPr fontId="61" type="noConversion"/>
  </si>
  <si>
    <t>SS304，详见02S403-08</t>
    <phoneticPr fontId="61" type="noConversion"/>
  </si>
  <si>
    <t>45°弯头</t>
  </si>
  <si>
    <t>SS304，详见02S403-10</t>
    <phoneticPr fontId="61" type="noConversion"/>
  </si>
  <si>
    <t>刚性防水套管</t>
  </si>
  <si>
    <t>Q235B，详见02S404-15</t>
    <phoneticPr fontId="61" type="noConversion"/>
  </si>
  <si>
    <t>钢制法兰</t>
  </si>
  <si>
    <t>Q235B，详见02S403-78</t>
    <phoneticPr fontId="61" type="noConversion"/>
  </si>
  <si>
    <t>片</t>
    <phoneticPr fontId="61" type="noConversion"/>
  </si>
  <si>
    <t>不锈钢法兰</t>
  </si>
  <si>
    <t>SS304，详见02S403-78</t>
    <phoneticPr fontId="61" type="noConversion"/>
  </si>
  <si>
    <t>钢制盲法兰</t>
  </si>
  <si>
    <t>放空管</t>
    <phoneticPr fontId="69" type="noConversion"/>
  </si>
  <si>
    <t>Q235B，详见02S403-09</t>
  </si>
  <si>
    <t>单管立式支架</t>
  </si>
  <si>
    <t>Q235B，详见03S402-79</t>
    <phoneticPr fontId="61" type="noConversion"/>
  </si>
  <si>
    <t>水平管支座</t>
  </si>
  <si>
    <t>Q235B，详见03S402-88</t>
    <phoneticPr fontId="61" type="noConversion"/>
  </si>
  <si>
    <t>Q235B，详见03S402-90</t>
    <phoneticPr fontId="61" type="noConversion"/>
  </si>
  <si>
    <t>膨胀螺栓固定立管</t>
  </si>
  <si>
    <t>SS304，详见03S402-145</t>
    <phoneticPr fontId="61" type="noConversion"/>
  </si>
  <si>
    <t>单管吊架</t>
  </si>
  <si>
    <t>Q235B，详见03S402-123</t>
    <phoneticPr fontId="61" type="noConversion"/>
  </si>
  <si>
    <t>格栅条</t>
  </si>
  <si>
    <t>详见详图,不锈钢材质3mm，玻璃钢10mm</t>
  </si>
  <si>
    <t>SS304/玻璃钢</t>
    <phoneticPr fontId="61" type="noConversion"/>
  </si>
  <si>
    <t>套</t>
    <phoneticPr fontId="61" type="noConversion"/>
  </si>
  <si>
    <t/>
  </si>
  <si>
    <t>总水量（m3/d）</t>
  </si>
  <si>
    <t>型号</t>
    <phoneticPr fontId="69" type="noConversion"/>
  </si>
  <si>
    <t>集砂槽顶宽</t>
    <phoneticPr fontId="69" type="noConversion"/>
  </si>
  <si>
    <t>闸后进水渠道宽度尺寸G</t>
  </si>
  <si>
    <t>出水侧长边方向泥斗水平投影尺寸S</t>
  </si>
  <si>
    <t>浮渣区宽b2</t>
  </si>
  <si>
    <t>隔墙厚b3</t>
  </si>
  <si>
    <t>壁厚</t>
    <phoneticPr fontId="69" type="noConversion"/>
  </si>
  <si>
    <t>m3/min</t>
    <phoneticPr fontId="69" type="noConversion"/>
  </si>
  <si>
    <t>Mpa</t>
    <phoneticPr fontId="69" type="noConversion"/>
  </si>
  <si>
    <t>kW</t>
    <phoneticPr fontId="69" type="noConversion"/>
  </si>
  <si>
    <t>砂水分离器工作数量</t>
    <phoneticPr fontId="69" type="noConversion"/>
  </si>
  <si>
    <t>砂水分离器备用数量</t>
    <phoneticPr fontId="69" type="noConversion"/>
  </si>
  <si>
    <t>排渣管管径d2</t>
    <phoneticPr fontId="69" type="noConversion"/>
  </si>
  <si>
    <t>排砂管管径d3</t>
    <phoneticPr fontId="69" type="noConversion"/>
  </si>
  <si>
    <t>放空时间</t>
    <phoneticPr fontId="69" type="noConversion"/>
  </si>
  <si>
    <t>h</t>
    <phoneticPr fontId="69" type="noConversion"/>
  </si>
  <si>
    <t>放空管管径d4</t>
    <phoneticPr fontId="69" type="noConversion"/>
  </si>
  <si>
    <t>曝气干管管径d5</t>
    <phoneticPr fontId="69" type="noConversion"/>
  </si>
  <si>
    <t>曝气支管管径d6</t>
    <phoneticPr fontId="69" type="noConversion"/>
  </si>
  <si>
    <t>流量30000</t>
  </si>
  <si>
    <t>流量35000</t>
  </si>
  <si>
    <t>流量40000</t>
  </si>
  <si>
    <t>流量45000</t>
  </si>
  <si>
    <t>流量50000</t>
  </si>
  <si>
    <t>流量55000</t>
  </si>
  <si>
    <t>流量60000</t>
  </si>
  <si>
    <t>流量65000</t>
  </si>
  <si>
    <t>流量70000</t>
  </si>
  <si>
    <t>流量75000</t>
  </si>
  <si>
    <t>流量80000</t>
  </si>
  <si>
    <t>流量85000</t>
  </si>
  <si>
    <t>流量90000</t>
  </si>
  <si>
    <t>流量95000</t>
  </si>
  <si>
    <t>流量100000</t>
  </si>
  <si>
    <t>流量110000</t>
  </si>
  <si>
    <t>流量120000</t>
  </si>
  <si>
    <t>流量130000</t>
  </si>
  <si>
    <t>流量140000</t>
  </si>
  <si>
    <t>流量150000</t>
  </si>
  <si>
    <t>流量160000</t>
  </si>
  <si>
    <t>流量170000</t>
  </si>
  <si>
    <t>流量180000</t>
  </si>
  <si>
    <t>流量190000</t>
  </si>
  <si>
    <t>流量200000</t>
  </si>
  <si>
    <t>功率kW</t>
    <phoneticPr fontId="69" type="noConversion"/>
  </si>
  <si>
    <t>综合生活污水量变化系数</t>
    <phoneticPr fontId="69" type="noConversion"/>
  </si>
  <si>
    <t>平均日流量（L/s）</t>
    <phoneticPr fontId="10" type="noConversion"/>
  </si>
  <si>
    <t>总变化系数
（GB50014-2021版）</t>
    <phoneticPr fontId="10" type="noConversion"/>
  </si>
  <si>
    <t>总变化系数
（GB50014-2016版）</t>
    <phoneticPr fontId="69" type="noConversion"/>
  </si>
  <si>
    <t>公称直径mm</t>
    <phoneticPr fontId="61" type="noConversion"/>
  </si>
  <si>
    <t>卷管外径mm</t>
    <phoneticPr fontId="61" type="noConversion"/>
  </si>
  <si>
    <t>壁厚（PN=1.0MPa）</t>
    <phoneticPr fontId="61" type="noConversion"/>
  </si>
  <si>
    <t>加工后外径mm</t>
    <phoneticPr fontId="61" type="noConversion"/>
  </si>
  <si>
    <t>流量15000</t>
  </si>
  <si>
    <t>流量20000</t>
  </si>
  <si>
    <t>流量25000</t>
  </si>
  <si>
    <t>流量10000</t>
  </si>
  <si>
    <t>水泵运行数量</t>
    <phoneticPr fontId="69" type="noConversion"/>
  </si>
  <si>
    <t>水泵备用数量</t>
    <phoneticPr fontId="69" type="noConversion"/>
  </si>
  <si>
    <t>水泵流量</t>
    <phoneticPr fontId="10" type="noConversion"/>
  </si>
  <si>
    <t>m3/h</t>
    <phoneticPr fontId="10" type="noConversion"/>
  </si>
  <si>
    <t>水泵效率</t>
    <phoneticPr fontId="10" type="noConversion"/>
  </si>
  <si>
    <t>kW</t>
    <phoneticPr fontId="10" type="noConversion"/>
  </si>
  <si>
    <t>估算功率</t>
    <phoneticPr fontId="10" type="noConversion"/>
  </si>
  <si>
    <t>水泵电机功率</t>
    <phoneticPr fontId="10" type="noConversion"/>
  </si>
  <si>
    <t>过水孔宽</t>
    <phoneticPr fontId="10" type="noConversion"/>
  </si>
  <si>
    <t>过水孔高</t>
    <phoneticPr fontId="10" type="noConversion"/>
  </si>
  <si>
    <t>峰值流量过洞流速</t>
    <phoneticPr fontId="69" type="noConversion"/>
  </si>
  <si>
    <t>平均流量过洞流速</t>
    <phoneticPr fontId="69" type="noConversion"/>
  </si>
  <si>
    <t>闸门数量</t>
    <phoneticPr fontId="69" type="noConversion"/>
  </si>
  <si>
    <t>个</t>
    <phoneticPr fontId="69" type="noConversion"/>
  </si>
  <si>
    <t>D</t>
    <phoneticPr fontId="61" type="noConversion"/>
  </si>
  <si>
    <t>C</t>
    <phoneticPr fontId="69" type="noConversion"/>
  </si>
  <si>
    <t>G</t>
    <phoneticPr fontId="69" type="noConversion"/>
  </si>
  <si>
    <t>B</t>
    <phoneticPr fontId="69" type="noConversion"/>
  </si>
  <si>
    <t>E、F</t>
    <phoneticPr fontId="69" type="noConversion"/>
  </si>
  <si>
    <t>A</t>
    <phoneticPr fontId="69" type="noConversion"/>
  </si>
  <si>
    <t>流量</t>
    <phoneticPr fontId="69" type="noConversion"/>
  </si>
  <si>
    <t>20.193*X^0.5084</t>
    <phoneticPr fontId="61" type="noConversion"/>
  </si>
  <si>
    <t>33.132 *X^0.5007</t>
    <phoneticPr fontId="61" type="noConversion"/>
  </si>
  <si>
    <t>177.46*X^0.2734</t>
    <phoneticPr fontId="61" type="noConversion"/>
  </si>
  <si>
    <t>66.959*X^0.5023</t>
    <phoneticPr fontId="69" type="noConversion"/>
  </si>
  <si>
    <t>308.05*X^0.2753</t>
    <phoneticPr fontId="69" type="noConversion"/>
  </si>
  <si>
    <t>153.54*X^0.5049</t>
    <phoneticPr fontId="69" type="noConversion"/>
  </si>
  <si>
    <t>查图数据</t>
    <phoneticPr fontId="69" type="noConversion"/>
  </si>
  <si>
    <t>公式计算数据</t>
    <phoneticPr fontId="69" type="noConversion"/>
  </si>
  <si>
    <t>查图数据</t>
    <phoneticPr fontId="61" type="noConversion"/>
  </si>
  <si>
    <t>公式计算数据</t>
    <phoneticPr fontId="61" type="noConversion"/>
  </si>
  <si>
    <t>D</t>
    <phoneticPr fontId="69" type="noConversion"/>
  </si>
  <si>
    <t>设计液位</t>
  </si>
  <si>
    <t>B</t>
    <phoneticPr fontId="61" type="noConversion"/>
  </si>
  <si>
    <t>C</t>
    <phoneticPr fontId="61" type="noConversion"/>
  </si>
  <si>
    <t>E</t>
    <phoneticPr fontId="10" type="noConversion"/>
  </si>
  <si>
    <t>F</t>
    <phoneticPr fontId="10" type="noConversion"/>
  </si>
  <si>
    <t>提升泵配水区</t>
    <phoneticPr fontId="61" type="noConversion"/>
  </si>
  <si>
    <t>Amin</t>
    <phoneticPr fontId="61" type="noConversion"/>
  </si>
  <si>
    <t>挡水槽长度E</t>
    <phoneticPr fontId="69" type="noConversion"/>
  </si>
  <si>
    <t>左泵室泵位</t>
    <phoneticPr fontId="69" type="noConversion"/>
  </si>
  <si>
    <t>右泵室泵位</t>
    <phoneticPr fontId="69" type="noConversion"/>
  </si>
  <si>
    <t>右泵室泵位</t>
    <phoneticPr fontId="61" type="noConversion"/>
  </si>
  <si>
    <t>水泵出水管管径</t>
    <phoneticPr fontId="69" type="noConversion"/>
  </si>
  <si>
    <t>水泵出水管管径</t>
    <phoneticPr fontId="61" type="noConversion"/>
  </si>
  <si>
    <t>电动葫芦起吊能力</t>
    <phoneticPr fontId="61" type="noConversion"/>
  </si>
  <si>
    <t>T</t>
    <phoneticPr fontId="69" type="noConversion"/>
  </si>
  <si>
    <t>T</t>
    <phoneticPr fontId="61" type="noConversion"/>
  </si>
  <si>
    <t>葫芦功率</t>
    <phoneticPr fontId="61" type="noConversion"/>
  </si>
  <si>
    <t>集水池停留时间</t>
    <phoneticPr fontId="10" type="noConversion"/>
  </si>
  <si>
    <t>集水池有效池容</t>
    <phoneticPr fontId="69" type="noConversion"/>
  </si>
  <si>
    <t>集水池停留时间</t>
    <phoneticPr fontId="69" type="noConversion"/>
  </si>
  <si>
    <t>集水池有效水深h1</t>
    <phoneticPr fontId="10" type="noConversion"/>
  </si>
  <si>
    <t>水泵保护液位h2</t>
    <phoneticPr fontId="10" type="noConversion"/>
  </si>
  <si>
    <t>集水池地面超高h3</t>
    <phoneticPr fontId="10" type="noConversion"/>
  </si>
  <si>
    <t>集水池有效水深h1</t>
    <phoneticPr fontId="69" type="noConversion"/>
  </si>
  <si>
    <t>水泵保护液位h2</t>
    <phoneticPr fontId="69" type="noConversion"/>
  </si>
  <si>
    <t>集水池地面超高h3</t>
    <phoneticPr fontId="69" type="noConversion"/>
  </si>
  <si>
    <t>集水池工作液面距离地面深度h4</t>
    <phoneticPr fontId="69" type="noConversion"/>
  </si>
  <si>
    <t>集水池深度H</t>
    <phoneticPr fontId="69" type="noConversion"/>
  </si>
  <si>
    <t>集水池面积</t>
    <phoneticPr fontId="69" type="noConversion"/>
  </si>
  <si>
    <t>m2</t>
    <phoneticPr fontId="69" type="noConversion"/>
  </si>
  <si>
    <t>集水池长宽比</t>
    <phoneticPr fontId="69" type="noConversion"/>
  </si>
  <si>
    <t>水泵出水管流速宜为0.8~2.5m/s，《室外排水设计标准GB50014-2021》P39</t>
    <phoneticPr fontId="61" type="noConversion"/>
  </si>
  <si>
    <t>水泵出水管流速</t>
    <phoneticPr fontId="61" type="noConversion"/>
  </si>
  <si>
    <t>Bmin</t>
    <phoneticPr fontId="61" type="noConversion"/>
  </si>
  <si>
    <t>Cmax</t>
    <phoneticPr fontId="61" type="noConversion"/>
  </si>
  <si>
    <t>闸门数量</t>
    <phoneticPr fontId="10" type="noConversion"/>
  </si>
  <si>
    <t>泵位</t>
    <phoneticPr fontId="61" type="noConversion"/>
  </si>
  <si>
    <t>D</t>
    <phoneticPr fontId="61" type="noConversion"/>
  </si>
  <si>
    <t>E</t>
    <phoneticPr fontId="61" type="noConversion"/>
  </si>
  <si>
    <t>G</t>
    <phoneticPr fontId="61" type="noConversion"/>
  </si>
  <si>
    <t>集水池长L</t>
    <phoneticPr fontId="69" type="noConversion"/>
  </si>
  <si>
    <t>集水池宽B</t>
    <phoneticPr fontId="69" type="noConversion"/>
  </si>
  <si>
    <t>集水池长L</t>
    <phoneticPr fontId="10" type="noConversion"/>
  </si>
  <si>
    <t>集水池宽B</t>
    <phoneticPr fontId="10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</si>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</sst>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_ "/>
    <numFmt numFmtId="177" formatCode="0.00_ "/>
    <numFmt numFmtId="178" formatCode="0.0_ "/>
    <numFmt numFmtId="179" formatCode="0_ "/>
    <numFmt numFmtId="180" formatCode="0.00_);[Red]\(0.00\)"/>
    <numFmt numFmtId="181" formatCode="0_);[Red]\(0\)"/>
    <numFmt numFmtId="182" formatCode="0.0_);[Red]\(0.0\)"/>
  </numFmts>
  <fonts count="74">
    <font>
      <sz val="12"/>
      <name val="宋体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vertAlign val="superscript"/>
      <sz val="11"/>
      <color indexed="8"/>
      <name val="宋体"/>
      <family val="3"/>
      <charset val="134"/>
    </font>
    <font>
      <vertAlign val="subscript"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vertAlign val="superscript"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20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b/>
      <sz val="20"/>
      <color indexed="10"/>
      <name val="微软雅黑"/>
      <family val="2"/>
      <charset val="134"/>
    </font>
    <font>
      <vertAlign val="superscript"/>
      <sz val="11"/>
      <color indexed="8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16"/>
      <name val="微软雅黑"/>
      <family val="2"/>
      <charset val="134"/>
    </font>
    <font>
      <sz val="12"/>
      <name val="微软雅黑"/>
      <family val="2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细黑"/>
      <family val="3"/>
      <charset val="134"/>
    </font>
    <font>
      <sz val="12"/>
      <name val="江西拙楷"/>
      <family val="3"/>
      <charset val="134"/>
    </font>
    <font>
      <sz val="9"/>
      <name val="宋体"/>
      <family val="3"/>
      <charset val="134"/>
    </font>
    <font>
      <vertAlign val="superscript"/>
      <sz val="12"/>
      <name val="华文细黑"/>
      <family val="3"/>
      <charset val="134"/>
    </font>
    <font>
      <sz val="9"/>
      <name val="等线"/>
      <family val="3"/>
      <charset val="134"/>
    </font>
    <font>
      <sz val="12"/>
      <color indexed="8"/>
      <name val="Times New Roman"/>
      <family val="1"/>
    </font>
    <font>
      <sz val="12"/>
      <color indexed="8"/>
      <name val="微软雅黑 Light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vertAlign val="superscript"/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u/>
      <sz val="11"/>
      <color rgb="FF0000FF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1"/>
      <color rgb="FF9C57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color theme="1" tint="-0.499984740745262"/>
      <name val="华文细黑"/>
      <family val="3"/>
      <charset val="134"/>
    </font>
    <font>
      <sz val="12"/>
      <color theme="1" tint="-0.499984740745262"/>
      <name val="Times New Roman"/>
      <family val="1"/>
    </font>
    <font>
      <b/>
      <sz val="10"/>
      <color rgb="FF000000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11"/>
      <color rgb="FF006100"/>
      <name val="华文细黑"/>
      <family val="3"/>
      <charset val="134"/>
    </font>
    <font>
      <sz val="16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color theme="0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1"/>
      <color theme="5"/>
      <name val="微软雅黑"/>
      <family val="2"/>
      <charset val="134"/>
    </font>
    <font>
      <sz val="10"/>
      <color theme="5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theme="5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theme="1"/>
      <name val="Arial"/>
      <family val="2"/>
    </font>
    <font>
      <vertAlign val="superscript"/>
      <sz val="10"/>
      <color theme="1"/>
      <name val="微软雅黑"/>
      <family val="2"/>
      <charset val="134"/>
    </font>
    <font>
      <sz val="10"/>
      <color theme="5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41CA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A2D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2" tint="-0.249977111117893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theme="1" tint="0.499984740745262"/>
      </bottom>
      <diagonal/>
    </border>
    <border>
      <left/>
      <right/>
      <top style="hair">
        <color indexed="64"/>
      </top>
      <bottom style="double">
        <color theme="1" tint="0.499984740745262"/>
      </bottom>
      <diagonal/>
    </border>
    <border>
      <left/>
      <right style="hair">
        <color indexed="64"/>
      </right>
      <top style="hair">
        <color indexed="64"/>
      </top>
      <bottom style="double">
        <color theme="1" tint="0.499984740745262"/>
      </bottom>
      <diagonal/>
    </border>
    <border>
      <left/>
      <right style="thin">
        <color indexed="64"/>
      </right>
      <top style="hair">
        <color indexed="64"/>
      </top>
      <bottom style="double">
        <color theme="1" tint="0.49998474074526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double">
        <color theme="1" tint="0.499984740745262"/>
      </top>
      <bottom style="hair">
        <color indexed="64"/>
      </bottom>
      <diagonal/>
    </border>
    <border>
      <left/>
      <right/>
      <top style="double">
        <color theme="1" tint="0.499984740745262"/>
      </top>
      <bottom style="hair">
        <color indexed="64"/>
      </bottom>
      <diagonal/>
    </border>
    <border>
      <left/>
      <right style="hair">
        <color indexed="64"/>
      </right>
      <top style="double">
        <color theme="1" tint="0.499984740745262"/>
      </top>
      <bottom style="hair">
        <color indexed="64"/>
      </bottom>
      <diagonal/>
    </border>
    <border>
      <left/>
      <right style="thin">
        <color indexed="64"/>
      </right>
      <top style="double">
        <color theme="1" tint="0.499984740745262"/>
      </top>
      <bottom style="hair">
        <color indexed="64"/>
      </bottom>
      <diagonal/>
    </border>
    <border>
      <left style="thin">
        <color indexed="64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hair">
        <color indexed="64"/>
      </left>
      <right/>
      <top/>
      <bottom style="double">
        <color theme="1" tint="0.499984740745262"/>
      </bottom>
      <diagonal/>
    </border>
    <border>
      <left/>
      <right style="hair">
        <color indexed="64"/>
      </right>
      <top/>
      <bottom style="double">
        <color theme="1" tint="0.499984740745262"/>
      </bottom>
      <diagonal/>
    </border>
    <border>
      <left/>
      <right style="thin">
        <color indexed="64"/>
      </right>
      <top/>
      <bottom style="double">
        <color theme="1" tint="0.499984740745262"/>
      </bottom>
      <diagonal/>
    </border>
    <border>
      <left style="hair">
        <color indexed="64"/>
      </left>
      <right/>
      <top style="double">
        <color theme="1" tint="0.499984740745262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>
      <alignment vertical="center"/>
    </xf>
    <xf numFmtId="0" fontId="41" fillId="14" borderId="0" applyNumberFormat="0" applyBorder="0" applyAlignment="0" applyProtection="0">
      <alignment vertical="center"/>
    </xf>
    <xf numFmtId="0" fontId="11" fillId="0" borderId="0"/>
    <xf numFmtId="0" fontId="11" fillId="0" borderId="0"/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40" fillId="0" borderId="0"/>
    <xf numFmtId="0" fontId="40" fillId="0" borderId="0"/>
    <xf numFmtId="0" fontId="42" fillId="0" borderId="0" applyNumberFormat="0" applyFill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59" fillId="0" borderId="0">
      <alignment vertical="center"/>
    </xf>
    <xf numFmtId="0" fontId="40" fillId="0" borderId="0">
      <alignment vertical="center"/>
    </xf>
    <xf numFmtId="0" fontId="3" fillId="0" borderId="0"/>
    <xf numFmtId="0" fontId="11" fillId="0" borderId="0">
      <alignment vertical="center"/>
    </xf>
    <xf numFmtId="0" fontId="2" fillId="0" borderId="0"/>
  </cellStyleXfs>
  <cellXfs count="6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5" fillId="19" borderId="2" xfId="0" applyFont="1" applyFill="1" applyBorder="1" applyAlignment="1">
      <alignment vertical="center"/>
    </xf>
    <xf numFmtId="0" fontId="0" fillId="19" borderId="2" xfId="0" applyFont="1" applyFill="1" applyBorder="1" applyAlignment="1">
      <alignment vertical="center"/>
    </xf>
    <xf numFmtId="177" fontId="5" fillId="19" borderId="2" xfId="0" applyNumberFormat="1" applyFont="1" applyFill="1" applyBorder="1" applyAlignme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5" fillId="19" borderId="5" xfId="0" applyFont="1" applyFill="1" applyBorder="1" applyAlignment="1">
      <alignment vertical="center"/>
    </xf>
    <xf numFmtId="177" fontId="5" fillId="19" borderId="5" xfId="0" applyNumberFormat="1" applyFont="1" applyFill="1" applyBorder="1" applyAlignment="1">
      <alignment vertical="center"/>
    </xf>
    <xf numFmtId="0" fontId="0" fillId="0" borderId="5" xfId="0" applyBorder="1">
      <alignment vertical="center"/>
    </xf>
    <xf numFmtId="0" fontId="0" fillId="19" borderId="5" xfId="0" applyFont="1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19" borderId="0" xfId="0" applyFont="1" applyFill="1" applyBorder="1" applyAlignment="1">
      <alignment vertical="center"/>
    </xf>
    <xf numFmtId="178" fontId="47" fillId="0" borderId="2" xfId="0" applyNumberFormat="1" applyFont="1" applyBorder="1" applyAlignment="1">
      <alignment horizontal="center" vertical="center"/>
    </xf>
    <xf numFmtId="0" fontId="47" fillId="0" borderId="2" xfId="0" applyFont="1" applyBorder="1" applyAlignment="1">
      <alignment horizontal="left" vertical="center"/>
    </xf>
    <xf numFmtId="178" fontId="47" fillId="0" borderId="2" xfId="0" applyNumberFormat="1" applyFont="1" applyBorder="1" applyAlignment="1">
      <alignment horizontal="left" vertical="center"/>
    </xf>
    <xf numFmtId="0" fontId="47" fillId="4" borderId="2" xfId="0" applyFont="1" applyFill="1" applyBorder="1" applyAlignment="1">
      <alignment horizontal="center" vertical="center"/>
    </xf>
    <xf numFmtId="0" fontId="47" fillId="4" borderId="2" xfId="0" applyFont="1" applyFill="1" applyBorder="1" applyAlignment="1">
      <alignment horizontal="left" vertical="center"/>
    </xf>
    <xf numFmtId="178" fontId="47" fillId="4" borderId="2" xfId="0" applyNumberFormat="1" applyFont="1" applyFill="1" applyBorder="1" applyAlignment="1">
      <alignment horizontal="left" vertical="center"/>
    </xf>
    <xf numFmtId="177" fontId="47" fillId="4" borderId="2" xfId="0" applyNumberFormat="1" applyFont="1" applyFill="1" applyBorder="1" applyAlignment="1">
      <alignment horizontal="left" vertical="center"/>
    </xf>
    <xf numFmtId="0" fontId="47" fillId="6" borderId="2" xfId="0" applyFont="1" applyFill="1" applyBorder="1" applyAlignment="1">
      <alignment horizontal="left" vertical="center"/>
    </xf>
    <xf numFmtId="0" fontId="0" fillId="20" borderId="2" xfId="0" applyFont="1" applyFill="1" applyBorder="1" applyAlignment="1">
      <alignment horizontal="center" vertical="center"/>
    </xf>
    <xf numFmtId="0" fontId="47" fillId="20" borderId="2" xfId="0" applyFont="1" applyFill="1" applyBorder="1" applyAlignment="1">
      <alignment horizontal="center" vertical="center"/>
    </xf>
    <xf numFmtId="178" fontId="0" fillId="20" borderId="2" xfId="0" applyNumberFormat="1" applyFill="1" applyBorder="1" applyAlignment="1">
      <alignment horizontal="left" vertical="center"/>
    </xf>
    <xf numFmtId="0" fontId="47" fillId="20" borderId="2" xfId="0" applyFont="1" applyFill="1" applyBorder="1" applyAlignment="1">
      <alignment horizontal="left" vertical="center"/>
    </xf>
    <xf numFmtId="0" fontId="0" fillId="20" borderId="2" xfId="0" applyFill="1" applyBorder="1">
      <alignment vertical="center"/>
    </xf>
    <xf numFmtId="0" fontId="0" fillId="21" borderId="2" xfId="0" applyFill="1" applyBorder="1" applyAlignment="1">
      <alignment horizontal="center" vertical="center"/>
    </xf>
    <xf numFmtId="0" fontId="0" fillId="21" borderId="2" xfId="0" applyFill="1" applyBorder="1">
      <alignment vertical="center"/>
    </xf>
    <xf numFmtId="0" fontId="0" fillId="18" borderId="2" xfId="0" applyFill="1" applyBorder="1">
      <alignment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>
      <alignment vertical="center"/>
    </xf>
    <xf numFmtId="178" fontId="48" fillId="0" borderId="0" xfId="0" applyNumberFormat="1" applyFont="1" applyFill="1" applyBorder="1" applyAlignment="1">
      <alignment horizontal="center" vertical="center"/>
    </xf>
    <xf numFmtId="178" fontId="48" fillId="0" borderId="0" xfId="0" applyNumberFormat="1" applyFont="1" applyFill="1" applyBorder="1" applyAlignment="1">
      <alignment vertical="center"/>
    </xf>
    <xf numFmtId="0" fontId="48" fillId="0" borderId="0" xfId="0" applyFont="1" applyBorder="1" applyAlignment="1">
      <alignment vertical="center"/>
    </xf>
    <xf numFmtId="0" fontId="47" fillId="20" borderId="2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79" fontId="47" fillId="22" borderId="2" xfId="0" applyNumberFormat="1" applyFont="1" applyFill="1" applyBorder="1" applyAlignment="1">
      <alignment horizontal="left" vertical="center"/>
    </xf>
    <xf numFmtId="179" fontId="47" fillId="5" borderId="2" xfId="0" applyNumberFormat="1" applyFont="1" applyFill="1" applyBorder="1" applyAlignment="1">
      <alignment horizontal="left" vertical="center"/>
    </xf>
    <xf numFmtId="179" fontId="47" fillId="23" borderId="2" xfId="0" applyNumberFormat="1" applyFont="1" applyFill="1" applyBorder="1" applyAlignment="1">
      <alignment horizontal="left" vertical="center"/>
    </xf>
    <xf numFmtId="179" fontId="47" fillId="0" borderId="2" xfId="0" applyNumberFormat="1" applyFont="1" applyFill="1" applyBorder="1" applyAlignment="1">
      <alignment horizontal="left" vertical="center"/>
    </xf>
    <xf numFmtId="0" fontId="49" fillId="0" borderId="2" xfId="9" applyFont="1" applyFill="1" applyBorder="1" applyAlignment="1">
      <alignment horizontal="left" vertical="center" wrapText="1"/>
    </xf>
    <xf numFmtId="0" fontId="50" fillId="24" borderId="2" xfId="9" applyFont="1" applyFill="1" applyBorder="1" applyAlignment="1">
      <alignment horizontal="center" vertical="center" wrapText="1"/>
    </xf>
    <xf numFmtId="0" fontId="50" fillId="24" borderId="2" xfId="9" applyFont="1" applyFill="1" applyBorder="1" applyAlignment="1">
      <alignment horizontal="center" vertical="center"/>
    </xf>
    <xf numFmtId="0" fontId="50" fillId="24" borderId="2" xfId="9" applyFont="1" applyFill="1" applyBorder="1" applyAlignment="1">
      <alignment horizontal="left" vertical="center"/>
    </xf>
    <xf numFmtId="0" fontId="49" fillId="0" borderId="2" xfId="9" applyFont="1" applyFill="1" applyBorder="1" applyAlignment="1">
      <alignment horizontal="center" vertical="center" wrapText="1"/>
    </xf>
    <xf numFmtId="180" fontId="51" fillId="0" borderId="0" xfId="9" applyNumberFormat="1" applyFont="1" applyAlignment="1">
      <alignment horizontal="center" vertical="center"/>
    </xf>
    <xf numFmtId="180" fontId="50" fillId="0" borderId="7" xfId="9" applyNumberFormat="1" applyFont="1" applyBorder="1" applyAlignment="1">
      <alignment horizontal="center" vertical="center" wrapText="1"/>
    </xf>
    <xf numFmtId="180" fontId="50" fillId="24" borderId="2" xfId="9" applyNumberFormat="1" applyFont="1" applyFill="1" applyBorder="1" applyAlignment="1">
      <alignment horizontal="center" vertical="center" wrapText="1"/>
    </xf>
    <xf numFmtId="180" fontId="50" fillId="24" borderId="2" xfId="9" applyNumberFormat="1" applyFont="1" applyFill="1" applyBorder="1" applyAlignment="1">
      <alignment horizontal="center" vertical="center"/>
    </xf>
    <xf numFmtId="180" fontId="49" fillId="18" borderId="2" xfId="9" applyNumberFormat="1" applyFont="1" applyFill="1" applyBorder="1" applyAlignment="1">
      <alignment horizontal="center" vertical="center" wrapText="1"/>
    </xf>
    <xf numFmtId="0" fontId="50" fillId="24" borderId="2" xfId="9" applyFont="1" applyFill="1" applyBorder="1" applyAlignment="1">
      <alignment vertical="center"/>
    </xf>
    <xf numFmtId="0" fontId="49" fillId="0" borderId="2" xfId="9" applyFont="1" applyFill="1" applyBorder="1" applyAlignment="1">
      <alignment vertical="center" wrapText="1"/>
    </xf>
    <xf numFmtId="0" fontId="50" fillId="0" borderId="2" xfId="9" applyFont="1" applyFill="1" applyBorder="1" applyAlignment="1">
      <alignment horizontal="center" vertical="center" wrapText="1"/>
    </xf>
    <xf numFmtId="180" fontId="50" fillId="19" borderId="2" xfId="9" applyNumberFormat="1" applyFont="1" applyFill="1" applyBorder="1" applyAlignment="1">
      <alignment horizontal="center" vertical="center" wrapText="1"/>
    </xf>
    <xf numFmtId="1" fontId="50" fillId="19" borderId="2" xfId="9" applyNumberFormat="1" applyFont="1" applyFill="1" applyBorder="1" applyAlignment="1">
      <alignment horizontal="center" vertical="center" wrapText="1"/>
    </xf>
    <xf numFmtId="1" fontId="50" fillId="24" borderId="2" xfId="9" applyNumberFormat="1" applyFont="1" applyFill="1" applyBorder="1" applyAlignment="1">
      <alignment horizontal="center" vertical="center" wrapText="1"/>
    </xf>
    <xf numFmtId="177" fontId="49" fillId="0" borderId="2" xfId="9" quotePrefix="1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49" fontId="49" fillId="0" borderId="2" xfId="9" applyNumberFormat="1" applyFont="1" applyFill="1" applyBorder="1" applyAlignment="1" applyProtection="1">
      <alignment horizontal="center" vertical="center" wrapText="1"/>
    </xf>
    <xf numFmtId="0" fontId="50" fillId="24" borderId="2" xfId="9" applyFont="1" applyFill="1" applyBorder="1" applyAlignment="1">
      <alignment horizontal="center" vertical="center" wrapText="1"/>
    </xf>
    <xf numFmtId="0" fontId="50" fillId="24" borderId="2" xfId="9" applyFont="1" applyFill="1" applyBorder="1" applyAlignment="1">
      <alignment horizontal="left" vertical="center" wrapText="1"/>
    </xf>
    <xf numFmtId="0" fontId="50" fillId="24" borderId="2" xfId="9" applyFont="1" applyFill="1" applyBorder="1" applyAlignment="1">
      <alignment horizontal="center" vertical="center"/>
    </xf>
    <xf numFmtId="0" fontId="50" fillId="24" borderId="2" xfId="9" applyFont="1" applyFill="1" applyBorder="1" applyAlignment="1">
      <alignment horizontal="left" vertical="center"/>
    </xf>
    <xf numFmtId="0" fontId="50" fillId="0" borderId="2" xfId="9" applyFont="1" applyBorder="1" applyAlignment="1">
      <alignment horizontal="center" vertical="center" wrapText="1"/>
    </xf>
    <xf numFmtId="0" fontId="49" fillId="0" borderId="2" xfId="9" applyFont="1" applyBorder="1" applyAlignment="1">
      <alignment horizontal="left" vertical="center" wrapText="1"/>
    </xf>
    <xf numFmtId="0" fontId="49" fillId="0" borderId="2" xfId="9" applyFont="1" applyBorder="1" applyAlignment="1">
      <alignment horizontal="center" vertical="center" wrapText="1"/>
    </xf>
    <xf numFmtId="0" fontId="49" fillId="0" borderId="2" xfId="9" applyFont="1" applyBorder="1" applyAlignment="1">
      <alignment vertical="center" wrapText="1"/>
    </xf>
    <xf numFmtId="0" fontId="16" fillId="0" borderId="2" xfId="9" applyFont="1" applyBorder="1" applyAlignment="1">
      <alignment vertical="center" wrapText="1"/>
    </xf>
    <xf numFmtId="0" fontId="47" fillId="20" borderId="8" xfId="0" applyFont="1" applyFill="1" applyBorder="1" applyAlignment="1">
      <alignment horizontal="left" vertical="center"/>
    </xf>
    <xf numFmtId="178" fontId="48" fillId="22" borderId="0" xfId="0" applyNumberFormat="1" applyFont="1" applyFill="1" applyBorder="1" applyAlignment="1">
      <alignment horizontal="center" vertical="center"/>
    </xf>
    <xf numFmtId="0" fontId="11" fillId="12" borderId="0" xfId="0" applyFont="1" applyFill="1">
      <alignment vertical="center"/>
    </xf>
    <xf numFmtId="0" fontId="0" fillId="12" borderId="0" xfId="0" applyFill="1">
      <alignment vertical="center"/>
    </xf>
    <xf numFmtId="0" fontId="47" fillId="10" borderId="2" xfId="0" applyFont="1" applyFill="1" applyBorder="1" applyAlignment="1">
      <alignment horizontal="center" vertical="center"/>
    </xf>
    <xf numFmtId="178" fontId="47" fillId="10" borderId="2" xfId="0" applyNumberFormat="1" applyFont="1" applyFill="1" applyBorder="1" applyAlignment="1">
      <alignment horizontal="left" vertical="center"/>
    </xf>
    <xf numFmtId="0" fontId="0" fillId="0" borderId="0" xfId="0" applyBorder="1">
      <alignment vertical="center"/>
    </xf>
    <xf numFmtId="0" fontId="47" fillId="0" borderId="0" xfId="0" applyFont="1" applyFill="1" applyBorder="1" applyAlignment="1">
      <alignment horizontal="left" vertical="center"/>
    </xf>
    <xf numFmtId="177" fontId="47" fillId="0" borderId="0" xfId="0" applyNumberFormat="1" applyFont="1" applyFill="1" applyBorder="1" applyAlignment="1">
      <alignment horizontal="left" vertical="center"/>
    </xf>
    <xf numFmtId="178" fontId="47" fillId="0" borderId="0" xfId="0" applyNumberFormat="1" applyFont="1" applyFill="1" applyBorder="1" applyAlignment="1">
      <alignment horizontal="left" vertical="center"/>
    </xf>
    <xf numFmtId="179" fontId="47" fillId="0" borderId="0" xfId="0" applyNumberFormat="1" applyFont="1" applyFill="1" applyBorder="1" applyAlignment="1">
      <alignment horizontal="left" vertical="center"/>
    </xf>
    <xf numFmtId="178" fontId="0" fillId="0" borderId="0" xfId="0" applyNumberFormat="1" applyFill="1" applyBorder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11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22" borderId="0" xfId="0" applyFill="1" applyAlignment="1">
      <alignment horizontal="left" vertical="center"/>
    </xf>
    <xf numFmtId="0" fontId="52" fillId="0" borderId="0" xfId="9" applyFont="1" applyBorder="1" applyAlignment="1">
      <alignment horizontal="center" vertical="center" wrapText="1"/>
    </xf>
    <xf numFmtId="0" fontId="50" fillId="0" borderId="0" xfId="9" applyFont="1" applyBorder="1" applyAlignment="1">
      <alignment horizontal="center" vertical="center" wrapText="1"/>
    </xf>
    <xf numFmtId="0" fontId="50" fillId="0" borderId="0" xfId="9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49" fillId="0" borderId="0" xfId="9" applyFont="1" applyBorder="1" applyAlignment="1">
      <alignment horizontal="left" vertical="center" wrapText="1"/>
    </xf>
    <xf numFmtId="0" fontId="52" fillId="0" borderId="2" xfId="9" applyFont="1" applyBorder="1" applyAlignment="1">
      <alignment horizontal="center" vertical="center" wrapText="1"/>
    </xf>
    <xf numFmtId="0" fontId="52" fillId="0" borderId="0" xfId="9" applyFont="1" applyFill="1" applyBorder="1" applyAlignment="1">
      <alignment horizontal="center" vertical="center" wrapText="1"/>
    </xf>
    <xf numFmtId="0" fontId="50" fillId="0" borderId="0" xfId="9" applyFont="1" applyFill="1" applyBorder="1" applyAlignment="1">
      <alignment horizontal="left" vertical="center"/>
    </xf>
    <xf numFmtId="0" fontId="16" fillId="0" borderId="0" xfId="9" applyFont="1" applyBorder="1" applyAlignment="1">
      <alignment horizontal="left" vertical="center" wrapText="1"/>
    </xf>
    <xf numFmtId="0" fontId="49" fillId="0" borderId="0" xfId="9" applyFont="1" applyBorder="1" applyAlignment="1">
      <alignment horizontal="center" vertical="center" wrapText="1"/>
    </xf>
    <xf numFmtId="0" fontId="16" fillId="0" borderId="0" xfId="9" applyFont="1" applyBorder="1" applyAlignment="1">
      <alignment vertical="center" wrapText="1"/>
    </xf>
    <xf numFmtId="0" fontId="0" fillId="13" borderId="0" xfId="0" applyFill="1" applyBorder="1" applyAlignment="1">
      <alignment horizontal="center" vertical="center" wrapText="1"/>
    </xf>
    <xf numFmtId="0" fontId="0" fillId="19" borderId="0" xfId="0" applyFill="1" applyBorder="1" applyAlignment="1">
      <alignment horizontal="center" vertical="center" wrapText="1"/>
    </xf>
    <xf numFmtId="0" fontId="0" fillId="19" borderId="0" xfId="0" applyFill="1" applyAlignment="1">
      <alignment horizontal="left" vertical="center"/>
    </xf>
    <xf numFmtId="0" fontId="0" fillId="19" borderId="0" xfId="0" applyFill="1">
      <alignment vertical="center"/>
    </xf>
    <xf numFmtId="176" fontId="47" fillId="10" borderId="2" xfId="0" applyNumberFormat="1" applyFont="1" applyFill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47" fillId="22" borderId="2" xfId="0" applyFont="1" applyFill="1" applyBorder="1" applyAlignment="1">
      <alignment horizontal="center" vertical="center"/>
    </xf>
    <xf numFmtId="178" fontId="0" fillId="22" borderId="2" xfId="0" applyNumberFormat="1" applyFill="1" applyBorder="1" applyAlignment="1">
      <alignment horizontal="left" vertical="center"/>
    </xf>
    <xf numFmtId="177" fontId="49" fillId="0" borderId="2" xfId="9" applyNumberFormat="1" applyFont="1" applyFill="1" applyBorder="1" applyAlignment="1">
      <alignment horizontal="center" vertical="center" wrapText="1"/>
    </xf>
    <xf numFmtId="180" fontId="50" fillId="0" borderId="2" xfId="9" applyNumberFormat="1" applyFont="1" applyFill="1" applyBorder="1" applyAlignment="1">
      <alignment horizontal="center" vertical="center"/>
    </xf>
    <xf numFmtId="180" fontId="49" fillId="0" borderId="2" xfId="9" applyNumberFormat="1" applyFont="1" applyFill="1" applyBorder="1" applyAlignment="1">
      <alignment horizontal="center" vertical="center" wrapText="1"/>
    </xf>
    <xf numFmtId="0" fontId="47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50" fillId="0" borderId="2" xfId="9" applyFont="1" applyFill="1" applyBorder="1" applyAlignment="1">
      <alignment vertical="center"/>
    </xf>
    <xf numFmtId="181" fontId="49" fillId="18" borderId="2" xfId="9" applyNumberFormat="1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/>
    </xf>
    <xf numFmtId="1" fontId="50" fillId="0" borderId="2" xfId="9" applyNumberFormat="1" applyFont="1" applyFill="1" applyBorder="1" applyAlignment="1">
      <alignment horizontal="center" vertical="center" wrapText="1"/>
    </xf>
    <xf numFmtId="0" fontId="50" fillId="0" borderId="2" xfId="10" applyFont="1" applyFill="1" applyBorder="1" applyAlignment="1">
      <alignment horizontal="center" vertical="center"/>
    </xf>
    <xf numFmtId="0" fontId="16" fillId="0" borderId="2" xfId="5" applyFont="1" applyFill="1" applyBorder="1" applyAlignment="1">
      <alignment horizontal="center" vertical="center" wrapText="1"/>
    </xf>
    <xf numFmtId="0" fontId="16" fillId="0" borderId="2" xfId="5" applyFont="1" applyFill="1" applyBorder="1" applyAlignment="1">
      <alignment horizontal="left" vertical="center" wrapText="1"/>
    </xf>
    <xf numFmtId="0" fontId="16" fillId="0" borderId="2" xfId="5" applyFont="1" applyFill="1" applyBorder="1" applyAlignment="1">
      <alignment vertical="center" wrapText="1"/>
    </xf>
    <xf numFmtId="0" fontId="19" fillId="0" borderId="2" xfId="5" applyFont="1" applyFill="1" applyBorder="1" applyAlignment="1">
      <alignment horizontal="center" vertical="center" wrapText="1"/>
    </xf>
    <xf numFmtId="49" fontId="16" fillId="0" borderId="2" xfId="10" applyNumberFormat="1" applyFont="1" applyFill="1" applyBorder="1" applyAlignment="1" applyProtection="1">
      <alignment horizontal="center" vertical="center" wrapText="1"/>
    </xf>
    <xf numFmtId="178" fontId="0" fillId="0" borderId="2" xfId="0" applyNumberFormat="1" applyFill="1" applyBorder="1" applyAlignment="1">
      <alignment horizontal="left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2" fillId="0" borderId="2" xfId="0" applyFont="1" applyBorder="1" applyAlignment="1">
      <alignment vertical="center" wrapText="1"/>
    </xf>
    <xf numFmtId="0" fontId="22" fillId="0" borderId="2" xfId="0" applyFont="1" applyBorder="1">
      <alignment vertical="center"/>
    </xf>
    <xf numFmtId="178" fontId="11" fillId="0" borderId="0" xfId="0" applyNumberFormat="1" applyFont="1" applyFill="1" applyBorder="1" applyAlignment="1">
      <alignment horizontal="left" vertical="center"/>
    </xf>
    <xf numFmtId="178" fontId="0" fillId="0" borderId="2" xfId="0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left" vertical="center"/>
    </xf>
    <xf numFmtId="0" fontId="11" fillId="0" borderId="2" xfId="0" applyFont="1" applyBorder="1" applyAlignment="1">
      <alignment horizontal="center" vertical="center"/>
    </xf>
    <xf numFmtId="178" fontId="47" fillId="0" borderId="9" xfId="0" applyNumberFormat="1" applyFont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4" borderId="9" xfId="0" applyFont="1" applyFill="1" applyBorder="1" applyAlignment="1">
      <alignment horizontal="center" vertical="center"/>
    </xf>
    <xf numFmtId="0" fontId="11" fillId="20" borderId="9" xfId="0" applyFont="1" applyFill="1" applyBorder="1" applyAlignment="1">
      <alignment horizontal="center" vertical="center"/>
    </xf>
    <xf numFmtId="0" fontId="0" fillId="20" borderId="9" xfId="0" applyFont="1" applyFill="1" applyBorder="1" applyAlignment="1">
      <alignment horizontal="center" vertical="center"/>
    </xf>
    <xf numFmtId="0" fontId="13" fillId="20" borderId="9" xfId="0" applyFont="1" applyFill="1" applyBorder="1" applyAlignment="1">
      <alignment horizontal="center" vertical="center"/>
    </xf>
    <xf numFmtId="0" fontId="11" fillId="22" borderId="9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21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9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178" fontId="47" fillId="7" borderId="11" xfId="0" applyNumberFormat="1" applyFont="1" applyFill="1" applyBorder="1" applyAlignment="1">
      <alignment horizontal="center" vertical="center"/>
    </xf>
    <xf numFmtId="178" fontId="47" fillId="25" borderId="2" xfId="0" applyNumberFormat="1" applyFont="1" applyFill="1" applyBorder="1" applyAlignment="1">
      <alignment horizontal="center" vertical="center"/>
    </xf>
    <xf numFmtId="178" fontId="47" fillId="0" borderId="9" xfId="0" applyNumberFormat="1" applyFont="1" applyFill="1" applyBorder="1" applyAlignment="1">
      <alignment horizontal="center" vertical="center"/>
    </xf>
    <xf numFmtId="178" fontId="47" fillId="0" borderId="2" xfId="0" applyNumberFormat="1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178" fontId="23" fillId="0" borderId="2" xfId="0" applyNumberFormat="1" applyFont="1" applyFill="1" applyBorder="1" applyAlignment="1">
      <alignment horizontal="left" vertical="center"/>
    </xf>
    <xf numFmtId="0" fontId="23" fillId="20" borderId="9" xfId="0" applyFont="1" applyFill="1" applyBorder="1" applyAlignment="1">
      <alignment horizontal="center" vertical="center"/>
    </xf>
    <xf numFmtId="0" fontId="47" fillId="20" borderId="2" xfId="0" applyFont="1" applyFill="1" applyBorder="1" applyAlignment="1">
      <alignment horizontal="left" vertical="center"/>
    </xf>
    <xf numFmtId="0" fontId="23" fillId="25" borderId="2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78" fontId="47" fillId="25" borderId="2" xfId="0" applyNumberFormat="1" applyFont="1" applyFill="1" applyBorder="1" applyAlignment="1">
      <alignment horizontal="center" vertical="center"/>
    </xf>
    <xf numFmtId="0" fontId="47" fillId="4" borderId="9" xfId="0" applyFont="1" applyFill="1" applyBorder="1" applyAlignment="1">
      <alignment horizontal="center" vertical="center"/>
    </xf>
    <xf numFmtId="0" fontId="47" fillId="0" borderId="2" xfId="0" applyFont="1" applyFill="1" applyBorder="1" applyAlignment="1">
      <alignment horizontal="left" vertical="center"/>
    </xf>
    <xf numFmtId="178" fontId="47" fillId="0" borderId="2" xfId="0" applyNumberFormat="1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center" vertical="center"/>
    </xf>
    <xf numFmtId="178" fontId="24" fillId="0" borderId="12" xfId="0" applyNumberFormat="1" applyFont="1" applyFill="1" applyBorder="1" applyAlignment="1">
      <alignment horizontal="left" vertical="center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6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178" fontId="0" fillId="0" borderId="2" xfId="0" applyNumberFormat="1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/>
    </xf>
    <xf numFmtId="178" fontId="47" fillId="0" borderId="9" xfId="0" applyNumberFormat="1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23" fillId="0" borderId="2" xfId="0" applyFont="1" applyFill="1" applyBorder="1" applyAlignment="1">
      <alignment horizontal="left" vertical="center"/>
    </xf>
    <xf numFmtId="0" fontId="47" fillId="0" borderId="9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23" fillId="0" borderId="9" xfId="0" applyFont="1" applyFill="1" applyBorder="1" applyAlignment="1">
      <alignment horizontal="left" vertical="center"/>
    </xf>
    <xf numFmtId="0" fontId="13" fillId="0" borderId="9" xfId="0" applyFont="1" applyFill="1" applyBorder="1" applyAlignment="1">
      <alignment horizontal="left" vertical="center"/>
    </xf>
    <xf numFmtId="0" fontId="11" fillId="0" borderId="9" xfId="0" applyFont="1" applyFill="1" applyBorder="1" applyAlignment="1">
      <alignment horizontal="left" vertical="center"/>
    </xf>
    <xf numFmtId="0" fontId="24" fillId="0" borderId="2" xfId="0" applyFont="1" applyFill="1" applyBorder="1" applyAlignment="1">
      <alignment horizontal="left" vertical="center"/>
    </xf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53" fillId="0" borderId="2" xfId="0" applyFont="1" applyBorder="1" applyAlignment="1">
      <alignment horizontal="center" vertical="center" wrapText="1"/>
    </xf>
    <xf numFmtId="0" fontId="26" fillId="0" borderId="0" xfId="0" applyFont="1" applyAlignment="1">
      <alignment horizontal="right" vertical="center"/>
    </xf>
    <xf numFmtId="0" fontId="26" fillId="2" borderId="0" xfId="0" applyFont="1" applyFill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2" fontId="26" fillId="3" borderId="0" xfId="0" applyNumberFormat="1" applyFont="1" applyFill="1" applyAlignment="1">
      <alignment horizontal="center" vertical="center" wrapText="1"/>
    </xf>
    <xf numFmtId="0" fontId="26" fillId="0" borderId="0" xfId="0" quotePrefix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vertical="center"/>
    </xf>
    <xf numFmtId="0" fontId="26" fillId="0" borderId="0" xfId="0" applyFont="1" applyAlignment="1">
      <alignment vertical="center"/>
    </xf>
    <xf numFmtId="0" fontId="0" fillId="0" borderId="0" xfId="0" applyAlignment="1">
      <alignment vertical="center"/>
    </xf>
    <xf numFmtId="0" fontId="26" fillId="0" borderId="0" xfId="0" quotePrefix="1" applyFont="1">
      <alignment vertical="center"/>
    </xf>
    <xf numFmtId="0" fontId="26" fillId="0" borderId="0" xfId="0" applyFont="1" applyAlignment="1">
      <alignment horizontal="left" vertical="center"/>
    </xf>
    <xf numFmtId="0" fontId="26" fillId="0" borderId="0" xfId="0" quotePrefix="1" applyFont="1" applyAlignment="1">
      <alignment horizontal="left" vertical="center"/>
    </xf>
    <xf numFmtId="0" fontId="54" fillId="0" borderId="2" xfId="0" applyFont="1" applyBorder="1" applyAlignment="1">
      <alignment horizontal="center" vertical="center" wrapText="1"/>
    </xf>
    <xf numFmtId="0" fontId="54" fillId="0" borderId="2" xfId="0" applyFont="1" applyBorder="1" applyAlignment="1">
      <alignment horizontal="center" vertical="center"/>
    </xf>
    <xf numFmtId="49" fontId="26" fillId="0" borderId="0" xfId="0" applyNumberFormat="1" applyFont="1">
      <alignment vertical="center"/>
    </xf>
    <xf numFmtId="180" fontId="49" fillId="22" borderId="2" xfId="9" applyNumberFormat="1" applyFont="1" applyFill="1" applyBorder="1" applyAlignment="1">
      <alignment horizontal="center" vertical="center" wrapText="1"/>
    </xf>
    <xf numFmtId="0" fontId="11" fillId="13" borderId="8" xfId="0" applyFont="1" applyFill="1" applyBorder="1" applyAlignment="1">
      <alignment vertical="center" wrapText="1"/>
    </xf>
    <xf numFmtId="0" fontId="0" fillId="13" borderId="8" xfId="0" applyFill="1" applyBorder="1" applyAlignment="1">
      <alignment vertical="center" wrapText="1"/>
    </xf>
    <xf numFmtId="0" fontId="11" fillId="22" borderId="0" xfId="0" applyFont="1" applyFill="1" applyAlignment="1">
      <alignment horizontal="center" vertical="center"/>
    </xf>
    <xf numFmtId="0" fontId="0" fillId="0" borderId="0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11" fillId="0" borderId="14" xfId="0" applyFont="1" applyBorder="1" applyAlignment="1"/>
    <xf numFmtId="178" fontId="55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42" fillId="0" borderId="0" xfId="11" applyBorder="1" applyAlignment="1"/>
    <xf numFmtId="0" fontId="55" fillId="0" borderId="17" xfId="0" applyFont="1" applyBorder="1" applyAlignment="1">
      <alignment horizontal="center" vertical="center"/>
    </xf>
    <xf numFmtId="178" fontId="48" fillId="0" borderId="18" xfId="0" applyNumberFormat="1" applyFont="1" applyFill="1" applyBorder="1" applyAlignment="1">
      <alignment horizontal="center" vertical="center"/>
    </xf>
    <xf numFmtId="0" fontId="55" fillId="0" borderId="18" xfId="0" applyFont="1" applyBorder="1" applyAlignment="1">
      <alignment horizontal="center" vertical="center"/>
    </xf>
    <xf numFmtId="0" fontId="55" fillId="0" borderId="19" xfId="0" applyFont="1" applyBorder="1" applyAlignment="1">
      <alignment horizontal="center" vertical="center"/>
    </xf>
    <xf numFmtId="0" fontId="55" fillId="0" borderId="2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10" borderId="0" xfId="0" applyFont="1" applyFill="1" applyBorder="1" applyAlignment="1">
      <alignment vertical="center"/>
    </xf>
    <xf numFmtId="177" fontId="48" fillId="9" borderId="0" xfId="0" applyNumberFormat="1" applyFont="1" applyFill="1" applyBorder="1" applyAlignment="1">
      <alignment vertical="center"/>
    </xf>
    <xf numFmtId="0" fontId="48" fillId="0" borderId="20" xfId="0" applyFont="1" applyBorder="1" applyAlignment="1">
      <alignment horizontal="center" vertical="center"/>
    </xf>
    <xf numFmtId="0" fontId="48" fillId="0" borderId="14" xfId="0" applyFont="1" applyBorder="1" applyAlignment="1">
      <alignment vertical="center"/>
    </xf>
    <xf numFmtId="0" fontId="48" fillId="0" borderId="14" xfId="0" applyFont="1" applyBorder="1" applyAlignment="1">
      <alignment horizontal="left" vertical="center"/>
    </xf>
    <xf numFmtId="0" fontId="48" fillId="0" borderId="21" xfId="0" applyFont="1" applyBorder="1" applyAlignment="1">
      <alignment horizontal="center" vertical="center"/>
    </xf>
    <xf numFmtId="0" fontId="48" fillId="0" borderId="15" xfId="0" applyFont="1" applyBorder="1" applyAlignment="1">
      <alignment vertical="center"/>
    </xf>
    <xf numFmtId="178" fontId="48" fillId="9" borderId="15" xfId="0" applyNumberFormat="1" applyFont="1" applyFill="1" applyBorder="1" applyAlignment="1">
      <alignment vertical="center"/>
    </xf>
    <xf numFmtId="0" fontId="48" fillId="0" borderId="15" xfId="0" applyFont="1" applyBorder="1" applyAlignment="1">
      <alignment horizontal="center" vertical="center"/>
    </xf>
    <xf numFmtId="0" fontId="48" fillId="0" borderId="16" xfId="0" applyFont="1" applyBorder="1" applyAlignment="1">
      <alignment horizontal="left" vertical="center"/>
    </xf>
    <xf numFmtId="0" fontId="55" fillId="0" borderId="21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20" xfId="0" applyFont="1" applyBorder="1" applyAlignment="1">
      <alignment horizontal="right"/>
    </xf>
    <xf numFmtId="0" fontId="11" fillId="0" borderId="9" xfId="0" applyFont="1" applyBorder="1" applyAlignment="1">
      <alignment horizontal="center" vertical="center"/>
    </xf>
    <xf numFmtId="178" fontId="24" fillId="0" borderId="2" xfId="0" applyNumberFormat="1" applyFont="1" applyFill="1" applyBorder="1" applyAlignment="1">
      <alignment horizontal="left" vertical="center"/>
    </xf>
    <xf numFmtId="182" fontId="0" fillId="0" borderId="2" xfId="0" applyNumberFormat="1" applyBorder="1">
      <alignment vertical="center"/>
    </xf>
    <xf numFmtId="0" fontId="11" fillId="0" borderId="10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177" fontId="47" fillId="17" borderId="2" xfId="0" applyNumberFormat="1" applyFont="1" applyFill="1" applyBorder="1" applyAlignment="1">
      <alignment horizontal="left" vertical="center"/>
    </xf>
    <xf numFmtId="10" fontId="47" fillId="26" borderId="2" xfId="0" applyNumberFormat="1" applyFont="1" applyFill="1" applyBorder="1" applyAlignment="1">
      <alignment horizontal="left" vertical="center"/>
    </xf>
    <xf numFmtId="0" fontId="0" fillId="22" borderId="2" xfId="0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47" fillId="0" borderId="9" xfId="0" applyFont="1" applyFill="1" applyBorder="1" applyAlignment="1">
      <alignment horizontal="center" vertical="center"/>
    </xf>
    <xf numFmtId="0" fontId="23" fillId="0" borderId="9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50" fillId="0" borderId="17" xfId="0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22" xfId="0" applyFont="1" applyBorder="1" applyAlignment="1">
      <alignment vertical="center" wrapText="1"/>
    </xf>
    <xf numFmtId="0" fontId="50" fillId="19" borderId="22" xfId="0" applyFont="1" applyFill="1" applyBorder="1" applyAlignment="1">
      <alignment vertical="center" wrapText="1"/>
    </xf>
    <xf numFmtId="0" fontId="50" fillId="0" borderId="23" xfId="0" applyFont="1" applyBorder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49" fillId="19" borderId="2" xfId="0" applyFont="1" applyFill="1" applyBorder="1" applyAlignment="1">
      <alignment horizontal="center" vertical="center" wrapText="1"/>
    </xf>
    <xf numFmtId="0" fontId="16" fillId="19" borderId="2" xfId="0" applyFont="1" applyFill="1" applyBorder="1" applyAlignment="1">
      <alignment horizontal="center" vertical="center" wrapText="1"/>
    </xf>
    <xf numFmtId="0" fontId="49" fillId="0" borderId="24" xfId="0" applyFont="1" applyBorder="1" applyAlignment="1">
      <alignment vertical="center" wrapText="1"/>
    </xf>
    <xf numFmtId="176" fontId="49" fillId="19" borderId="2" xfId="0" applyNumberFormat="1" applyFont="1" applyFill="1" applyBorder="1" applyAlignment="1">
      <alignment horizontal="center" vertical="center" wrapText="1"/>
    </xf>
    <xf numFmtId="177" fontId="49" fillId="19" borderId="2" xfId="0" applyNumberFormat="1" applyFont="1" applyFill="1" applyBorder="1" applyAlignment="1">
      <alignment horizontal="center" vertical="center" wrapText="1"/>
    </xf>
    <xf numFmtId="0" fontId="49" fillId="0" borderId="3" xfId="0" applyFont="1" applyBorder="1" applyAlignment="1">
      <alignment vertical="center" wrapText="1"/>
    </xf>
    <xf numFmtId="0" fontId="50" fillId="0" borderId="2" xfId="0" applyFont="1" applyBorder="1" applyAlignment="1">
      <alignment horizontal="left" vertical="center" wrapText="1"/>
    </xf>
    <xf numFmtId="182" fontId="49" fillId="0" borderId="2" xfId="0" applyNumberFormat="1" applyFont="1" applyBorder="1" applyAlignment="1">
      <alignment horizontal="right" vertical="center" wrapText="1"/>
    </xf>
    <xf numFmtId="180" fontId="49" fillId="20" borderId="2" xfId="0" applyNumberFormat="1" applyFont="1" applyFill="1" applyBorder="1" applyAlignment="1">
      <alignment horizontal="center" vertical="center" wrapText="1"/>
    </xf>
    <xf numFmtId="182" fontId="49" fillId="0" borderId="3" xfId="0" applyNumberFormat="1" applyFont="1" applyBorder="1" applyAlignment="1">
      <alignment vertical="center" wrapText="1"/>
    </xf>
    <xf numFmtId="182" fontId="49" fillId="0" borderId="0" xfId="0" applyNumberFormat="1" applyFont="1" applyAlignment="1">
      <alignment vertical="center" wrapText="1"/>
    </xf>
    <xf numFmtId="0" fontId="49" fillId="0" borderId="2" xfId="0" applyFont="1" applyBorder="1" applyAlignment="1">
      <alignment vertical="center" wrapText="1"/>
    </xf>
    <xf numFmtId="0" fontId="49" fillId="0" borderId="2" xfId="0" applyFont="1" applyBorder="1" applyAlignment="1">
      <alignment horizontal="right" vertical="center" wrapText="1"/>
    </xf>
    <xf numFmtId="0" fontId="49" fillId="20" borderId="2" xfId="0" applyFont="1" applyFill="1" applyBorder="1" applyAlignment="1">
      <alignment horizontal="center" vertical="center" wrapText="1"/>
    </xf>
    <xf numFmtId="180" fontId="40" fillId="19" borderId="25" xfId="0" applyNumberFormat="1" applyFont="1" applyFill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177" fontId="49" fillId="20" borderId="2" xfId="0" applyNumberFormat="1" applyFont="1" applyFill="1" applyBorder="1" applyAlignment="1">
      <alignment horizontal="center" vertical="center" wrapText="1"/>
    </xf>
    <xf numFmtId="0" fontId="49" fillId="0" borderId="3" xfId="0" applyFont="1" applyBorder="1" applyAlignment="1">
      <alignment horizontal="left" vertical="center" wrapText="1"/>
    </xf>
    <xf numFmtId="180" fontId="49" fillId="11" borderId="2" xfId="0" applyNumberFormat="1" applyFont="1" applyFill="1" applyBorder="1" applyAlignment="1">
      <alignment horizontal="center" vertical="center" wrapText="1"/>
    </xf>
    <xf numFmtId="0" fontId="49" fillId="0" borderId="2" xfId="0" applyFont="1" applyBorder="1" applyAlignment="1">
      <alignment horizontal="left" vertical="center" wrapText="1"/>
    </xf>
    <xf numFmtId="0" fontId="49" fillId="11" borderId="2" xfId="0" applyFont="1" applyFill="1" applyBorder="1" applyAlignment="1">
      <alignment horizontal="center" vertical="center" wrapText="1"/>
    </xf>
    <xf numFmtId="177" fontId="49" fillId="11" borderId="2" xfId="0" applyNumberFormat="1" applyFont="1" applyFill="1" applyBorder="1" applyAlignment="1">
      <alignment horizontal="center" vertical="center" wrapText="1"/>
    </xf>
    <xf numFmtId="0" fontId="49" fillId="0" borderId="0" xfId="0" applyFont="1" applyAlignment="1">
      <alignment horizontal="left" vertical="center" wrapText="1"/>
    </xf>
    <xf numFmtId="0" fontId="49" fillId="0" borderId="0" xfId="0" applyFont="1" applyAlignment="1">
      <alignment horizontal="center" vertical="center" wrapText="1"/>
    </xf>
    <xf numFmtId="0" fontId="49" fillId="19" borderId="0" xfId="0" applyFont="1" applyFill="1" applyAlignment="1">
      <alignment vertical="center" wrapText="1"/>
    </xf>
    <xf numFmtId="0" fontId="49" fillId="19" borderId="0" xfId="0" applyFont="1" applyFill="1" applyAlignment="1">
      <alignment horizontal="center" vertical="center" wrapText="1"/>
    </xf>
    <xf numFmtId="0" fontId="35" fillId="0" borderId="2" xfId="0" applyFont="1" applyBorder="1">
      <alignment vertical="center"/>
    </xf>
    <xf numFmtId="0" fontId="35" fillId="0" borderId="0" xfId="0" applyFont="1" applyFill="1" applyAlignment="1">
      <alignment horizontal="center" vertical="center"/>
    </xf>
    <xf numFmtId="177" fontId="49" fillId="22" borderId="2" xfId="9" applyNumberFormat="1" applyFont="1" applyFill="1" applyBorder="1" applyAlignment="1" applyProtection="1">
      <alignment horizontal="center" vertical="center" wrapText="1"/>
    </xf>
    <xf numFmtId="177" fontId="49" fillId="0" borderId="2" xfId="9" applyNumberFormat="1" applyFont="1" applyFill="1" applyBorder="1" applyAlignment="1" applyProtection="1">
      <alignment horizontal="left" vertical="center" wrapText="1"/>
    </xf>
    <xf numFmtId="0" fontId="37" fillId="0" borderId="2" xfId="0" applyFont="1" applyBorder="1">
      <alignment vertical="center"/>
    </xf>
    <xf numFmtId="0" fontId="37" fillId="0" borderId="2" xfId="0" applyFont="1" applyBorder="1" applyAlignment="1">
      <alignment horizontal="center" vertical="center"/>
    </xf>
    <xf numFmtId="0" fontId="37" fillId="22" borderId="2" xfId="0" applyFont="1" applyFill="1" applyBorder="1">
      <alignment vertical="center"/>
    </xf>
    <xf numFmtId="0" fontId="37" fillId="25" borderId="2" xfId="0" applyFont="1" applyFill="1" applyBorder="1" applyAlignment="1">
      <alignment horizontal="center" vertical="center"/>
    </xf>
    <xf numFmtId="0" fontId="37" fillId="0" borderId="0" xfId="0" applyFont="1" applyFill="1">
      <alignment vertical="center"/>
    </xf>
    <xf numFmtId="0" fontId="37" fillId="0" borderId="0" xfId="0" applyFont="1" applyBorder="1">
      <alignment vertical="center"/>
    </xf>
    <xf numFmtId="0" fontId="37" fillId="0" borderId="0" xfId="0" applyFont="1" applyFill="1" applyAlignment="1">
      <alignment horizontal="left" vertical="center"/>
    </xf>
    <xf numFmtId="177" fontId="0" fillId="0" borderId="2" xfId="0" applyNumberFormat="1" applyFill="1" applyBorder="1" applyAlignment="1">
      <alignment horizontal="left" vertical="center"/>
    </xf>
    <xf numFmtId="0" fontId="37" fillId="22" borderId="0" xfId="0" applyFont="1" applyFill="1" applyBorder="1">
      <alignment vertical="center"/>
    </xf>
    <xf numFmtId="0" fontId="0" fillId="22" borderId="11" xfId="0" applyFill="1" applyBorder="1" applyAlignment="1">
      <alignment horizontal="center" vertical="center"/>
    </xf>
    <xf numFmtId="178" fontId="0" fillId="22" borderId="0" xfId="0" applyNumberFormat="1" applyFill="1" applyBorder="1" applyAlignment="1">
      <alignment horizontal="left" vertical="center"/>
    </xf>
    <xf numFmtId="0" fontId="0" fillId="22" borderId="0" xfId="0" applyFill="1">
      <alignment vertical="center"/>
    </xf>
    <xf numFmtId="0" fontId="11" fillId="22" borderId="2" xfId="0" applyFont="1" applyFill="1" applyBorder="1" applyAlignment="1">
      <alignment horizontal="center" vertical="center"/>
    </xf>
    <xf numFmtId="0" fontId="37" fillId="22" borderId="9" xfId="0" applyFont="1" applyFill="1" applyBorder="1" applyAlignment="1">
      <alignment horizontal="center" vertical="center"/>
    </xf>
    <xf numFmtId="0" fontId="11" fillId="22" borderId="0" xfId="0" applyFont="1" applyFill="1" applyBorder="1" applyAlignment="1">
      <alignment horizontal="center" vertical="center"/>
    </xf>
    <xf numFmtId="0" fontId="47" fillId="22" borderId="0" xfId="0" applyFont="1" applyFill="1" applyBorder="1" applyAlignment="1">
      <alignment horizontal="center" vertical="center"/>
    </xf>
    <xf numFmtId="0" fontId="37" fillId="22" borderId="0" xfId="0" applyFont="1" applyFill="1" applyBorder="1" applyAlignment="1">
      <alignment horizontal="center" vertical="center"/>
    </xf>
    <xf numFmtId="178" fontId="0" fillId="19" borderId="2" xfId="0" applyNumberFormat="1" applyFill="1" applyBorder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37" fillId="8" borderId="0" xfId="0" applyFont="1" applyFill="1" applyAlignment="1">
      <alignment horizontal="center" vertical="center"/>
    </xf>
    <xf numFmtId="0" fontId="0" fillId="8" borderId="0" xfId="0" applyFill="1">
      <alignment vertical="center"/>
    </xf>
    <xf numFmtId="178" fontId="0" fillId="8" borderId="0" xfId="0" applyNumberFormat="1" applyFill="1">
      <alignment vertical="center"/>
    </xf>
    <xf numFmtId="179" fontId="0" fillId="6" borderId="2" xfId="0" applyNumberFormat="1" applyFill="1" applyBorder="1">
      <alignment vertical="center"/>
    </xf>
    <xf numFmtId="177" fontId="0" fillId="7" borderId="11" xfId="0" applyNumberFormat="1" applyFill="1" applyBorder="1" applyAlignment="1">
      <alignment horizontal="center" vertical="center"/>
    </xf>
    <xf numFmtId="177" fontId="0" fillId="0" borderId="26" xfId="0" applyNumberFormat="1" applyBorder="1" applyAlignment="1">
      <alignment horizontal="center" vertical="center"/>
    </xf>
    <xf numFmtId="177" fontId="0" fillId="0" borderId="27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0" applyNumberFormat="1" applyFill="1" applyBorder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78" fontId="47" fillId="18" borderId="2" xfId="0" applyNumberFormat="1" applyFont="1" applyFill="1" applyBorder="1" applyAlignment="1">
      <alignment horizontal="center" vertical="center"/>
    </xf>
    <xf numFmtId="178" fontId="47" fillId="18" borderId="9" xfId="0" applyNumberFormat="1" applyFont="1" applyFill="1" applyBorder="1" applyAlignment="1">
      <alignment horizontal="center" vertical="center"/>
    </xf>
    <xf numFmtId="179" fontId="47" fillId="18" borderId="2" xfId="0" applyNumberFormat="1" applyFont="1" applyFill="1" applyBorder="1" applyAlignment="1">
      <alignment horizontal="left" vertical="center"/>
    </xf>
    <xf numFmtId="179" fontId="47" fillId="18" borderId="0" xfId="0" applyNumberFormat="1" applyFont="1" applyFill="1" applyBorder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0" fillId="18" borderId="0" xfId="0" applyFill="1">
      <alignment vertical="center"/>
    </xf>
    <xf numFmtId="178" fontId="47" fillId="18" borderId="2" xfId="0" applyNumberFormat="1" applyFont="1" applyFill="1" applyBorder="1" applyAlignment="1">
      <alignment horizontal="left" vertical="center"/>
    </xf>
    <xf numFmtId="0" fontId="37" fillId="0" borderId="2" xfId="0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left" vertical="center"/>
    </xf>
    <xf numFmtId="182" fontId="0" fillId="0" borderId="2" xfId="0" applyNumberFormat="1" applyFill="1" applyBorder="1" applyAlignment="1">
      <alignment horizontal="left" vertical="center"/>
    </xf>
    <xf numFmtId="0" fontId="37" fillId="0" borderId="2" xfId="0" applyFont="1" applyFill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9" fillId="0" borderId="0" xfId="0" applyFont="1" applyFill="1">
      <alignment vertical="center"/>
    </xf>
    <xf numFmtId="177" fontId="39" fillId="0" borderId="2" xfId="0" applyNumberFormat="1" applyFont="1" applyFill="1" applyBorder="1" applyAlignment="1">
      <alignment horizontal="left" vertical="center"/>
    </xf>
    <xf numFmtId="0" fontId="39" fillId="27" borderId="2" xfId="0" applyFont="1" applyFill="1" applyBorder="1">
      <alignment vertical="center"/>
    </xf>
    <xf numFmtId="0" fontId="39" fillId="0" borderId="2" xfId="0" applyFont="1" applyBorder="1">
      <alignment vertical="center"/>
    </xf>
    <xf numFmtId="0" fontId="0" fillId="22" borderId="0" xfId="0" applyFill="1" applyAlignment="1">
      <alignment horizontal="center" vertical="center"/>
    </xf>
    <xf numFmtId="0" fontId="39" fillId="22" borderId="0" xfId="0" applyFont="1" applyFill="1" applyAlignment="1">
      <alignment horizontal="center" vertical="center"/>
    </xf>
    <xf numFmtId="0" fontId="11" fillId="28" borderId="2" xfId="0" applyFont="1" applyFill="1" applyBorder="1" applyAlignment="1">
      <alignment horizontal="center" vertical="center"/>
    </xf>
    <xf numFmtId="0" fontId="0" fillId="28" borderId="9" xfId="0" applyFont="1" applyFill="1" applyBorder="1" applyAlignment="1">
      <alignment horizontal="center" vertical="center"/>
    </xf>
    <xf numFmtId="0" fontId="47" fillId="28" borderId="2" xfId="0" applyFont="1" applyFill="1" applyBorder="1" applyAlignment="1">
      <alignment horizontal="center" vertical="center"/>
    </xf>
    <xf numFmtId="0" fontId="47" fillId="28" borderId="2" xfId="0" applyFont="1" applyFill="1" applyBorder="1" applyAlignment="1">
      <alignment horizontal="left" vertical="center"/>
    </xf>
    <xf numFmtId="0" fontId="47" fillId="28" borderId="0" xfId="0" applyFont="1" applyFill="1" applyBorder="1" applyAlignment="1">
      <alignment horizontal="left" vertical="center"/>
    </xf>
    <xf numFmtId="0" fontId="0" fillId="28" borderId="0" xfId="0" applyFont="1" applyFill="1" applyAlignment="1">
      <alignment horizontal="left" vertical="center"/>
    </xf>
    <xf numFmtId="0" fontId="0" fillId="28" borderId="0" xfId="0" applyFill="1" applyAlignment="1">
      <alignment horizontal="left" vertical="center"/>
    </xf>
    <xf numFmtId="0" fontId="0" fillId="28" borderId="0" xfId="0" applyFill="1">
      <alignment vertical="center"/>
    </xf>
    <xf numFmtId="0" fontId="62" fillId="0" borderId="0" xfId="14" applyFont="1" applyAlignment="1">
      <alignment vertical="center" wrapText="1"/>
    </xf>
    <xf numFmtId="0" fontId="64" fillId="0" borderId="39" xfId="14" applyFont="1" applyBorder="1" applyAlignment="1">
      <alignment horizontal="center" vertical="center" wrapText="1"/>
    </xf>
    <xf numFmtId="0" fontId="64" fillId="0" borderId="40" xfId="14" applyFont="1" applyBorder="1" applyAlignment="1">
      <alignment horizontal="center" vertical="center" wrapText="1"/>
    </xf>
    <xf numFmtId="0" fontId="64" fillId="0" borderId="41" xfId="14" applyFont="1" applyBorder="1" applyAlignment="1">
      <alignment horizontal="center" vertical="center" wrapText="1"/>
    </xf>
    <xf numFmtId="0" fontId="63" fillId="0" borderId="0" xfId="14" applyFont="1" applyAlignment="1">
      <alignment horizontal="left" vertical="center" wrapText="1"/>
    </xf>
    <xf numFmtId="0" fontId="63" fillId="0" borderId="26" xfId="14" applyFont="1" applyBorder="1" applyAlignment="1">
      <alignment horizontal="left" vertical="center" wrapText="1"/>
    </xf>
    <xf numFmtId="0" fontId="65" fillId="0" borderId="42" xfId="14" applyFont="1" applyBorder="1" applyAlignment="1">
      <alignment vertical="center" wrapText="1"/>
    </xf>
    <xf numFmtId="0" fontId="66" fillId="30" borderId="43" xfId="14" applyFont="1" applyFill="1" applyBorder="1" applyAlignment="1">
      <alignment vertical="center" wrapText="1"/>
    </xf>
    <xf numFmtId="0" fontId="67" fillId="31" borderId="43" xfId="14" applyFont="1" applyFill="1" applyBorder="1" applyAlignment="1">
      <alignment vertical="center" wrapText="1"/>
    </xf>
    <xf numFmtId="0" fontId="62" fillId="0" borderId="43" xfId="14" applyFont="1" applyBorder="1" applyAlignment="1">
      <alignment vertical="center" wrapText="1"/>
    </xf>
    <xf numFmtId="0" fontId="62" fillId="0" borderId="44" xfId="14" applyFont="1" applyBorder="1" applyAlignment="1">
      <alignment vertical="center" wrapText="1"/>
    </xf>
    <xf numFmtId="0" fontId="62" fillId="0" borderId="26" xfId="14" applyFont="1" applyBorder="1" applyAlignment="1">
      <alignment vertical="center" wrapText="1"/>
    </xf>
    <xf numFmtId="0" fontId="65" fillId="0" borderId="8" xfId="14" applyFont="1" applyBorder="1" applyAlignment="1">
      <alignment vertical="center" wrapText="1"/>
    </xf>
    <xf numFmtId="177" fontId="62" fillId="0" borderId="40" xfId="14" applyNumberFormat="1" applyFont="1" applyBorder="1" applyAlignment="1">
      <alignment vertical="center" wrapText="1"/>
    </xf>
    <xf numFmtId="177" fontId="62" fillId="0" borderId="0" xfId="14" applyNumberFormat="1" applyFont="1" applyAlignment="1">
      <alignment vertical="center" wrapText="1"/>
    </xf>
    <xf numFmtId="177" fontId="62" fillId="0" borderId="43" xfId="14" applyNumberFormat="1" applyFont="1" applyBorder="1" applyAlignment="1">
      <alignment vertical="center" wrapText="1"/>
    </xf>
    <xf numFmtId="0" fontId="62" fillId="0" borderId="45" xfId="14" applyFont="1" applyBorder="1" applyAlignment="1">
      <alignment horizontal="right" vertical="center" wrapText="1"/>
    </xf>
    <xf numFmtId="0" fontId="66" fillId="30" borderId="43" xfId="14" applyFont="1" applyFill="1" applyBorder="1" applyAlignment="1">
      <alignment horizontal="right" vertical="center" wrapText="1"/>
    </xf>
    <xf numFmtId="177" fontId="62" fillId="0" borderId="47" xfId="14" applyNumberFormat="1" applyFont="1" applyBorder="1" applyAlignment="1">
      <alignment vertical="center" wrapText="1"/>
    </xf>
    <xf numFmtId="0" fontId="62" fillId="0" borderId="47" xfId="14" applyFont="1" applyBorder="1" applyAlignment="1">
      <alignment vertical="center" wrapText="1"/>
    </xf>
    <xf numFmtId="0" fontId="62" fillId="0" borderId="48" xfId="14" applyFont="1" applyBorder="1" applyAlignment="1">
      <alignment vertical="center" wrapText="1"/>
    </xf>
    <xf numFmtId="0" fontId="62" fillId="0" borderId="45" xfId="14" applyFont="1" applyBorder="1" applyAlignment="1">
      <alignment vertical="center" wrapText="1"/>
    </xf>
    <xf numFmtId="0" fontId="62" fillId="0" borderId="49" xfId="14" applyFont="1" applyBorder="1" applyAlignment="1">
      <alignment vertical="center" wrapText="1"/>
    </xf>
    <xf numFmtId="176" fontId="62" fillId="0" borderId="50" xfId="14" applyNumberFormat="1" applyFont="1" applyBorder="1" applyAlignment="1">
      <alignment horizontal="center" vertical="center" wrapText="1"/>
    </xf>
    <xf numFmtId="0" fontId="62" fillId="0" borderId="40" xfId="14" applyFont="1" applyBorder="1" applyAlignment="1">
      <alignment vertical="center" wrapText="1"/>
    </xf>
    <xf numFmtId="0" fontId="62" fillId="0" borderId="41" xfId="14" applyFont="1" applyBorder="1" applyAlignment="1">
      <alignment vertical="center" wrapText="1"/>
    </xf>
    <xf numFmtId="177" fontId="68" fillId="0" borderId="43" xfId="14" applyNumberFormat="1" applyFont="1" applyBorder="1" applyAlignment="1">
      <alignment horizontal="right" vertical="center" wrapText="1"/>
    </xf>
    <xf numFmtId="177" fontId="62" fillId="0" borderId="43" xfId="14" applyNumberFormat="1" applyFont="1" applyBorder="1" applyAlignment="1">
      <alignment horizontal="right" vertical="center" wrapText="1"/>
    </xf>
    <xf numFmtId="176" fontId="62" fillId="0" borderId="0" xfId="14" applyNumberFormat="1" applyFont="1" applyAlignment="1">
      <alignment horizontal="center" vertical="center" wrapText="1"/>
    </xf>
    <xf numFmtId="181" fontId="67" fillId="31" borderId="40" xfId="14" applyNumberFormat="1" applyFont="1" applyFill="1" applyBorder="1" applyAlignment="1">
      <alignment vertical="center" wrapText="1"/>
    </xf>
    <xf numFmtId="0" fontId="62" fillId="0" borderId="51" xfId="14" applyFont="1" applyBorder="1" applyAlignment="1">
      <alignment vertical="center" wrapText="1"/>
    </xf>
    <xf numFmtId="0" fontId="62" fillId="0" borderId="52" xfId="14" applyFont="1" applyBorder="1" applyAlignment="1">
      <alignment vertical="center" wrapText="1"/>
    </xf>
    <xf numFmtId="0" fontId="67" fillId="0" borderId="51" xfId="14" applyFont="1" applyBorder="1" applyAlignment="1">
      <alignment horizontal="center" vertical="center" wrapText="1"/>
    </xf>
    <xf numFmtId="0" fontId="67" fillId="0" borderId="52" xfId="14" applyFont="1" applyBorder="1" applyAlignment="1">
      <alignment horizontal="center" vertical="center" wrapText="1"/>
    </xf>
    <xf numFmtId="0" fontId="65" fillId="0" borderId="0" xfId="14" applyFont="1" applyAlignment="1">
      <alignment horizontal="center" vertical="center" wrapText="1"/>
    </xf>
    <xf numFmtId="0" fontId="65" fillId="0" borderId="39" xfId="14" applyFont="1" applyBorder="1" applyAlignment="1">
      <alignment vertical="center" wrapText="1"/>
    </xf>
    <xf numFmtId="180" fontId="67" fillId="31" borderId="40" xfId="14" applyNumberFormat="1" applyFont="1" applyFill="1" applyBorder="1" applyAlignment="1">
      <alignment vertical="center" wrapText="1"/>
    </xf>
    <xf numFmtId="0" fontId="65" fillId="0" borderId="51" xfId="14" applyFont="1" applyBorder="1" applyAlignment="1">
      <alignment vertical="center" wrapText="1"/>
    </xf>
    <xf numFmtId="0" fontId="62" fillId="0" borderId="40" xfId="14" applyFont="1" applyBorder="1" applyAlignment="1">
      <alignment horizontal="left" vertical="center" wrapText="1"/>
    </xf>
    <xf numFmtId="0" fontId="62" fillId="0" borderId="51" xfId="14" applyFont="1" applyBorder="1" applyAlignment="1">
      <alignment horizontal="center" vertical="center" wrapText="1"/>
    </xf>
    <xf numFmtId="0" fontId="62" fillId="0" borderId="52" xfId="14" applyFont="1" applyBorder="1" applyAlignment="1">
      <alignment horizontal="center" vertical="center" wrapText="1"/>
    </xf>
    <xf numFmtId="0" fontId="65" fillId="0" borderId="53" xfId="14" applyFont="1" applyBorder="1" applyAlignment="1">
      <alignment vertical="center" wrapText="1"/>
    </xf>
    <xf numFmtId="176" fontId="62" fillId="0" borderId="43" xfId="14" applyNumberFormat="1" applyFont="1" applyBorder="1" applyAlignment="1">
      <alignment vertical="center" wrapText="1"/>
    </xf>
    <xf numFmtId="0" fontId="62" fillId="0" borderId="43" xfId="14" applyFont="1" applyBorder="1" applyAlignment="1">
      <alignment horizontal="left" vertical="center" wrapText="1"/>
    </xf>
    <xf numFmtId="0" fontId="62" fillId="0" borderId="53" xfId="14" applyFont="1" applyBorder="1" applyAlignment="1">
      <alignment horizontal="center" vertical="center" wrapText="1"/>
    </xf>
    <xf numFmtId="0" fontId="62" fillId="0" borderId="54" xfId="14" applyFont="1" applyBorder="1" applyAlignment="1">
      <alignment horizontal="center" vertical="center" wrapText="1"/>
    </xf>
    <xf numFmtId="0" fontId="62" fillId="0" borderId="40" xfId="14" applyFont="1" applyBorder="1" applyAlignment="1">
      <alignment horizontal="left" vertical="center" wrapText="1"/>
    </xf>
    <xf numFmtId="180" fontId="62" fillId="0" borderId="40" xfId="14" applyNumberFormat="1" applyFont="1" applyBorder="1" applyAlignment="1">
      <alignment vertical="center" wrapText="1"/>
    </xf>
    <xf numFmtId="0" fontId="62" fillId="0" borderId="54" xfId="14" applyFont="1" applyBorder="1" applyAlignment="1">
      <alignment vertical="center" wrapText="1"/>
    </xf>
    <xf numFmtId="176" fontId="62" fillId="0" borderId="40" xfId="14" applyNumberFormat="1" applyFont="1" applyBorder="1" applyAlignment="1">
      <alignment vertical="center" wrapText="1"/>
    </xf>
    <xf numFmtId="0" fontId="62" fillId="0" borderId="40" xfId="14" applyFont="1" applyBorder="1" applyAlignment="1">
      <alignment horizontal="center" vertical="center" wrapText="1"/>
    </xf>
    <xf numFmtId="0" fontId="65" fillId="0" borderId="40" xfId="14" applyFont="1" applyBorder="1" applyAlignment="1">
      <alignment vertical="center" wrapText="1"/>
    </xf>
    <xf numFmtId="180" fontId="62" fillId="0" borderId="43" xfId="14" applyNumberFormat="1" applyFont="1" applyBorder="1" applyAlignment="1">
      <alignment vertical="center" wrapText="1"/>
    </xf>
    <xf numFmtId="0" fontId="65" fillId="0" borderId="43" xfId="14" applyFont="1" applyBorder="1" applyAlignment="1">
      <alignment vertical="center" wrapText="1"/>
    </xf>
    <xf numFmtId="177" fontId="62" fillId="0" borderId="0" xfId="14" applyNumberFormat="1" applyFont="1" applyAlignment="1">
      <alignment horizontal="center" vertical="center" wrapText="1"/>
    </xf>
    <xf numFmtId="177" fontId="62" fillId="0" borderId="52" xfId="14" applyNumberFormat="1" applyFont="1" applyBorder="1" applyAlignment="1">
      <alignment horizontal="center" vertical="center" wrapText="1"/>
    </xf>
    <xf numFmtId="176" fontId="62" fillId="0" borderId="40" xfId="14" applyNumberFormat="1" applyFont="1" applyBorder="1" applyAlignment="1">
      <alignment horizontal="right" vertical="center" wrapText="1"/>
    </xf>
    <xf numFmtId="0" fontId="65" fillId="0" borderId="0" xfId="14" applyFont="1" applyAlignment="1">
      <alignment vertical="center" wrapText="1"/>
    </xf>
    <xf numFmtId="180" fontId="70" fillId="0" borderId="40" xfId="14" applyNumberFormat="1" applyFont="1" applyBorder="1" applyAlignment="1">
      <alignment vertical="center" wrapText="1"/>
    </xf>
    <xf numFmtId="0" fontId="62" fillId="0" borderId="44" xfId="14" applyFont="1" applyBorder="1" applyAlignment="1">
      <alignment horizontal="left" vertical="center" wrapText="1"/>
    </xf>
    <xf numFmtId="0" fontId="62" fillId="0" borderId="43" xfId="14" applyFont="1" applyBorder="1" applyAlignment="1">
      <alignment horizontal="center" vertical="center" wrapText="1"/>
    </xf>
    <xf numFmtId="0" fontId="62" fillId="0" borderId="53" xfId="14" applyFont="1" applyBorder="1" applyAlignment="1">
      <alignment vertical="center" wrapText="1"/>
    </xf>
    <xf numFmtId="0" fontId="71" fillId="0" borderId="43" xfId="14" applyFont="1" applyBorder="1" applyAlignment="1">
      <alignment vertical="center" wrapText="1"/>
    </xf>
    <xf numFmtId="176" fontId="62" fillId="0" borderId="0" xfId="14" applyNumberFormat="1" applyFont="1" applyAlignment="1">
      <alignment vertical="center" wrapText="1"/>
    </xf>
    <xf numFmtId="0" fontId="71" fillId="0" borderId="0" xfId="14" applyFont="1" applyAlignment="1">
      <alignment vertical="center" wrapText="1"/>
    </xf>
    <xf numFmtId="180" fontId="62" fillId="0" borderId="0" xfId="14" applyNumberFormat="1" applyFont="1" applyAlignment="1">
      <alignment vertical="center" wrapText="1"/>
    </xf>
    <xf numFmtId="0" fontId="62" fillId="0" borderId="41" xfId="14" applyFont="1" applyBorder="1" applyAlignment="1">
      <alignment horizontal="left" vertical="center" wrapText="1"/>
    </xf>
    <xf numFmtId="0" fontId="65" fillId="0" borderId="55" xfId="14" applyFont="1" applyBorder="1" applyAlignment="1">
      <alignment vertical="center" wrapText="1"/>
    </xf>
    <xf numFmtId="180" fontId="67" fillId="31" borderId="56" xfId="14" applyNumberFormat="1" applyFont="1" applyFill="1" applyBorder="1" applyAlignment="1">
      <alignment vertical="center" wrapText="1"/>
    </xf>
    <xf numFmtId="0" fontId="62" fillId="0" borderId="56" xfId="14" applyFont="1" applyBorder="1" applyAlignment="1">
      <alignment vertical="center" wrapText="1"/>
    </xf>
    <xf numFmtId="0" fontId="64" fillId="0" borderId="57" xfId="14" applyFont="1" applyBorder="1" applyAlignment="1">
      <alignment horizontal="center" vertical="center" wrapText="1"/>
    </xf>
    <xf numFmtId="0" fontId="64" fillId="0" borderId="56" xfId="14" applyFont="1" applyBorder="1" applyAlignment="1">
      <alignment horizontal="center" vertical="center" wrapText="1"/>
    </xf>
    <xf numFmtId="0" fontId="62" fillId="0" borderId="57" xfId="14" applyFont="1" applyBorder="1" applyAlignment="1">
      <alignment horizontal="left" vertical="center" wrapText="1"/>
    </xf>
    <xf numFmtId="0" fontId="67" fillId="0" borderId="56" xfId="14" applyFont="1" applyBorder="1" applyAlignment="1">
      <alignment horizontal="center" vertical="center" wrapText="1"/>
    </xf>
    <xf numFmtId="0" fontId="67" fillId="0" borderId="58" xfId="14" applyFont="1" applyBorder="1" applyAlignment="1">
      <alignment horizontal="center" vertical="center" wrapText="1"/>
    </xf>
    <xf numFmtId="0" fontId="65" fillId="0" borderId="46" xfId="14" applyFont="1" applyBorder="1" applyAlignment="1">
      <alignment vertical="center" wrapText="1"/>
    </xf>
    <xf numFmtId="9" fontId="67" fillId="31" borderId="40" xfId="14" applyNumberFormat="1" applyFont="1" applyFill="1" applyBorder="1" applyAlignment="1">
      <alignment vertical="center" wrapText="1"/>
    </xf>
    <xf numFmtId="0" fontId="65" fillId="0" borderId="47" xfId="14" applyFont="1" applyBorder="1" applyAlignment="1">
      <alignment vertical="center" wrapText="1"/>
    </xf>
    <xf numFmtId="176" fontId="62" fillId="0" borderId="47" xfId="14" applyNumberFormat="1" applyFont="1" applyBorder="1" applyAlignment="1">
      <alignment vertical="center" wrapText="1"/>
    </xf>
    <xf numFmtId="0" fontId="62" fillId="0" borderId="48" xfId="14" applyFont="1" applyBorder="1" applyAlignment="1">
      <alignment horizontal="left" vertical="center" wrapText="1"/>
    </xf>
    <xf numFmtId="0" fontId="62" fillId="0" borderId="47" xfId="14" applyFont="1" applyBorder="1" applyAlignment="1">
      <alignment horizontal="center" vertical="center" wrapText="1"/>
    </xf>
    <xf numFmtId="0" fontId="62" fillId="0" borderId="59" xfId="14" applyFont="1" applyBorder="1" applyAlignment="1">
      <alignment horizontal="center" vertical="center" wrapText="1"/>
    </xf>
    <xf numFmtId="9" fontId="67" fillId="31" borderId="0" xfId="14" applyNumberFormat="1" applyFont="1" applyFill="1" applyAlignment="1">
      <alignment vertical="center" wrapText="1"/>
    </xf>
    <xf numFmtId="180" fontId="62" fillId="0" borderId="56" xfId="14" applyNumberFormat="1" applyFont="1" applyBorder="1" applyAlignment="1">
      <alignment vertical="center" wrapText="1"/>
    </xf>
    <xf numFmtId="0" fontId="62" fillId="0" borderId="57" xfId="14" applyFont="1" applyBorder="1" applyAlignment="1">
      <alignment vertical="center" wrapText="1"/>
    </xf>
    <xf numFmtId="0" fontId="65" fillId="0" borderId="56" xfId="14" applyFont="1" applyBorder="1" applyAlignment="1">
      <alignment vertical="center" wrapText="1"/>
    </xf>
    <xf numFmtId="176" fontId="62" fillId="0" borderId="56" xfId="14" applyNumberFormat="1" applyFont="1" applyBorder="1" applyAlignment="1">
      <alignment vertical="center" wrapText="1"/>
    </xf>
    <xf numFmtId="0" fontId="62" fillId="0" borderId="56" xfId="14" applyFont="1" applyBorder="1" applyAlignment="1">
      <alignment horizontal="center" vertical="center" wrapText="1"/>
    </xf>
    <xf numFmtId="0" fontId="62" fillId="0" borderId="58" xfId="14" applyFont="1" applyBorder="1" applyAlignment="1">
      <alignment horizontal="center" vertical="center" wrapText="1"/>
    </xf>
    <xf numFmtId="0" fontId="62" fillId="0" borderId="49" xfId="14" applyFont="1" applyBorder="1" applyAlignment="1">
      <alignment horizontal="left" vertical="center" wrapText="1"/>
    </xf>
    <xf numFmtId="0" fontId="62" fillId="0" borderId="0" xfId="14" applyFont="1" applyAlignment="1">
      <alignment horizontal="center" vertical="center" wrapText="1"/>
    </xf>
    <xf numFmtId="0" fontId="62" fillId="0" borderId="26" xfId="14" applyFont="1" applyBorder="1" applyAlignment="1">
      <alignment horizontal="center" vertical="center" wrapText="1"/>
    </xf>
    <xf numFmtId="181" fontId="67" fillId="31" borderId="56" xfId="14" applyNumberFormat="1" applyFont="1" applyFill="1" applyBorder="1" applyAlignment="1">
      <alignment vertical="center" wrapText="1"/>
    </xf>
    <xf numFmtId="0" fontId="65" fillId="0" borderId="60" xfId="14" applyFont="1" applyBorder="1" applyAlignment="1">
      <alignment vertical="center" wrapText="1"/>
    </xf>
    <xf numFmtId="182" fontId="67" fillId="31" borderId="61" xfId="14" applyNumberFormat="1" applyFont="1" applyFill="1" applyBorder="1" applyAlignment="1">
      <alignment vertical="center" wrapText="1"/>
    </xf>
    <xf numFmtId="0" fontId="62" fillId="0" borderId="61" xfId="14" applyFont="1" applyBorder="1" applyAlignment="1">
      <alignment vertical="center" wrapText="1"/>
    </xf>
    <xf numFmtId="0" fontId="62" fillId="0" borderId="62" xfId="14" applyFont="1" applyBorder="1" applyAlignment="1">
      <alignment vertical="center" wrapText="1"/>
    </xf>
    <xf numFmtId="0" fontId="65" fillId="0" borderId="61" xfId="14" applyFont="1" applyBorder="1" applyAlignment="1">
      <alignment vertical="center" wrapText="1"/>
    </xf>
    <xf numFmtId="176" fontId="62" fillId="0" borderId="61" xfId="14" applyNumberFormat="1" applyFont="1" applyBorder="1" applyAlignment="1">
      <alignment vertical="center" wrapText="1"/>
    </xf>
    <xf numFmtId="0" fontId="62" fillId="0" borderId="62" xfId="14" applyFont="1" applyBorder="1" applyAlignment="1">
      <alignment horizontal="left" vertical="center" wrapText="1"/>
    </xf>
    <xf numFmtId="0" fontId="62" fillId="0" borderId="61" xfId="14" applyFont="1" applyBorder="1" applyAlignment="1">
      <alignment horizontal="center" vertical="center" wrapText="1"/>
    </xf>
    <xf numFmtId="0" fontId="62" fillId="0" borderId="63" xfId="14" applyFont="1" applyBorder="1" applyAlignment="1">
      <alignment horizontal="center" vertical="center" wrapText="1"/>
    </xf>
    <xf numFmtId="182" fontId="67" fillId="31" borderId="43" xfId="14" applyNumberFormat="1" applyFont="1" applyFill="1" applyBorder="1" applyAlignment="1">
      <alignment vertical="center" wrapText="1"/>
    </xf>
    <xf numFmtId="182" fontId="62" fillId="0" borderId="43" xfId="14" applyNumberFormat="1" applyFont="1" applyBorder="1" applyAlignment="1">
      <alignment vertical="center" wrapText="1"/>
    </xf>
    <xf numFmtId="182" fontId="67" fillId="31" borderId="40" xfId="14" applyNumberFormat="1" applyFont="1" applyFill="1" applyBorder="1" applyAlignment="1">
      <alignment vertical="center" wrapText="1"/>
    </xf>
    <xf numFmtId="0" fontId="65" fillId="0" borderId="64" xfId="14" applyFont="1" applyBorder="1" applyAlignment="1">
      <alignment vertical="center" wrapText="1"/>
    </xf>
    <xf numFmtId="0" fontId="62" fillId="0" borderId="65" xfId="14" applyFont="1" applyBorder="1" applyAlignment="1">
      <alignment vertical="center" wrapText="1"/>
    </xf>
    <xf numFmtId="0" fontId="65" fillId="0" borderId="66" xfId="14" applyFont="1" applyBorder="1" applyAlignment="1">
      <alignment vertical="center" wrapText="1"/>
    </xf>
    <xf numFmtId="176" fontId="62" fillId="0" borderId="65" xfId="14" applyNumberFormat="1" applyFont="1" applyBorder="1" applyAlignment="1">
      <alignment vertical="center" wrapText="1"/>
    </xf>
    <xf numFmtId="0" fontId="62" fillId="0" borderId="67" xfId="14" applyFont="1" applyBorder="1" applyAlignment="1">
      <alignment vertical="center" wrapText="1"/>
    </xf>
    <xf numFmtId="0" fontId="62" fillId="0" borderId="66" xfId="14" applyFont="1" applyBorder="1" applyAlignment="1">
      <alignment horizontal="center" vertical="center" wrapText="1"/>
    </xf>
    <xf numFmtId="0" fontId="62" fillId="0" borderId="68" xfId="14" applyFont="1" applyBorder="1" applyAlignment="1">
      <alignment horizontal="center" vertical="center" wrapText="1"/>
    </xf>
    <xf numFmtId="181" fontId="67" fillId="31" borderId="61" xfId="14" applyNumberFormat="1" applyFont="1" applyFill="1" applyBorder="1" applyAlignment="1">
      <alignment vertical="center" wrapText="1"/>
    </xf>
    <xf numFmtId="0" fontId="65" fillId="0" borderId="69" xfId="14" applyFont="1" applyBorder="1" applyAlignment="1">
      <alignment vertical="center" wrapText="1"/>
    </xf>
    <xf numFmtId="0" fontId="62" fillId="0" borderId="69" xfId="14" applyFont="1" applyBorder="1" applyAlignment="1">
      <alignment horizontal="center" vertical="center" wrapText="1"/>
    </xf>
    <xf numFmtId="181" fontId="67" fillId="31" borderId="43" xfId="14" applyNumberFormat="1" applyFont="1" applyFill="1" applyBorder="1" applyAlignment="1">
      <alignment vertical="center" wrapText="1"/>
    </xf>
    <xf numFmtId="181" fontId="67" fillId="31" borderId="0" xfId="14" applyNumberFormat="1" applyFont="1" applyFill="1" applyAlignment="1">
      <alignment vertical="center" wrapText="1"/>
    </xf>
    <xf numFmtId="181" fontId="67" fillId="31" borderId="65" xfId="14" applyNumberFormat="1" applyFont="1" applyFill="1" applyBorder="1" applyAlignment="1">
      <alignment vertical="center" wrapText="1"/>
    </xf>
    <xf numFmtId="0" fontId="67" fillId="31" borderId="40" xfId="14" applyFont="1" applyFill="1" applyBorder="1" applyAlignment="1">
      <alignment vertical="center" wrapText="1"/>
    </xf>
    <xf numFmtId="0" fontId="60" fillId="29" borderId="8" xfId="14" applyFont="1" applyFill="1" applyBorder="1" applyAlignment="1">
      <alignment vertical="center" wrapText="1"/>
    </xf>
    <xf numFmtId="0" fontId="60" fillId="29" borderId="0" xfId="14" applyFont="1" applyFill="1" applyAlignment="1">
      <alignment vertical="center" wrapText="1"/>
    </xf>
    <xf numFmtId="176" fontId="60" fillId="29" borderId="0" xfId="14" applyNumberFormat="1" applyFont="1" applyFill="1" applyAlignment="1">
      <alignment vertical="center" wrapText="1"/>
    </xf>
    <xf numFmtId="0" fontId="60" fillId="29" borderId="26" xfId="14" applyFont="1" applyFill="1" applyBorder="1" applyAlignment="1">
      <alignment vertical="center" wrapText="1"/>
    </xf>
    <xf numFmtId="0" fontId="67" fillId="0" borderId="39" xfId="14" applyFont="1" applyBorder="1" applyAlignment="1">
      <alignment vertical="center" wrapText="1"/>
    </xf>
    <xf numFmtId="0" fontId="67" fillId="0" borderId="40" xfId="14" applyFont="1" applyBorder="1" applyAlignment="1">
      <alignment horizontal="center" vertical="center" wrapText="1"/>
    </xf>
    <xf numFmtId="0" fontId="70" fillId="0" borderId="40" xfId="14" applyFont="1" applyBorder="1" applyAlignment="1">
      <alignment vertical="center" wrapText="1"/>
    </xf>
    <xf numFmtId="0" fontId="70" fillId="0" borderId="43" xfId="14" applyFont="1" applyBorder="1" applyAlignment="1">
      <alignment vertical="center" wrapText="1"/>
    </xf>
    <xf numFmtId="0" fontId="70" fillId="0" borderId="0" xfId="14" applyFont="1" applyAlignment="1">
      <alignment vertical="center" wrapText="1"/>
    </xf>
    <xf numFmtId="0" fontId="62" fillId="0" borderId="43" xfId="14" applyFont="1" applyBorder="1" applyAlignment="1">
      <alignment horizontal="right" vertical="center" wrapText="1"/>
    </xf>
    <xf numFmtId="180" fontId="62" fillId="0" borderId="40" xfId="14" applyNumberFormat="1" applyFont="1" applyBorder="1" applyAlignment="1">
      <alignment horizontal="right" vertical="center" wrapText="1"/>
    </xf>
    <xf numFmtId="0" fontId="62" fillId="0" borderId="40" xfId="14" applyFont="1" applyBorder="1" applyAlignment="1">
      <alignment horizontal="right" vertical="center" wrapText="1"/>
    </xf>
    <xf numFmtId="0" fontId="67" fillId="0" borderId="2" xfId="15" applyFont="1" applyBorder="1" applyAlignment="1">
      <alignment horizontal="center" vertical="center" wrapText="1"/>
    </xf>
    <xf numFmtId="176" fontId="67" fillId="0" borderId="2" xfId="15" applyNumberFormat="1" applyFont="1" applyBorder="1" applyAlignment="1">
      <alignment horizontal="center" vertical="center" wrapText="1"/>
    </xf>
    <xf numFmtId="0" fontId="67" fillId="0" borderId="2" xfId="16" applyFont="1" applyBorder="1" applyAlignment="1">
      <alignment horizontal="center" vertical="center" wrapText="1"/>
    </xf>
    <xf numFmtId="0" fontId="62" fillId="0" borderId="2" xfId="15" applyFont="1" applyBorder="1" applyAlignment="1">
      <alignment horizontal="center" vertical="center" wrapText="1"/>
    </xf>
    <xf numFmtId="0" fontId="70" fillId="0" borderId="2" xfId="15" applyFont="1" applyBorder="1" applyAlignment="1">
      <alignment horizontal="center" vertical="center" wrapText="1"/>
    </xf>
    <xf numFmtId="0" fontId="62" fillId="0" borderId="2" xfId="15" applyFont="1" applyBorder="1" applyAlignment="1">
      <alignment horizontal="left" vertical="center" wrapText="1"/>
    </xf>
    <xf numFmtId="0" fontId="70" fillId="0" borderId="2" xfId="15" applyFont="1" applyBorder="1" applyAlignment="1">
      <alignment horizontal="left" vertical="center" wrapText="1"/>
    </xf>
    <xf numFmtId="0" fontId="67" fillId="0" borderId="7" xfId="15" applyFont="1" applyBorder="1" applyAlignment="1">
      <alignment horizontal="center" vertical="center" wrapText="1"/>
    </xf>
    <xf numFmtId="0" fontId="62" fillId="0" borderId="9" xfId="14" applyFont="1" applyBorder="1" applyAlignment="1">
      <alignment vertical="center" wrapText="1"/>
    </xf>
    <xf numFmtId="0" fontId="62" fillId="0" borderId="2" xfId="14" applyFont="1" applyBorder="1" applyAlignment="1">
      <alignment horizontal="center" vertical="center" wrapText="1"/>
    </xf>
    <xf numFmtId="0" fontId="62" fillId="0" borderId="2" xfId="14" applyFont="1" applyBorder="1" applyAlignment="1">
      <alignment vertical="center" wrapText="1"/>
    </xf>
    <xf numFmtId="176" fontId="62" fillId="0" borderId="2" xfId="14" applyNumberFormat="1" applyFont="1" applyBorder="1" applyAlignment="1">
      <alignment horizontal="center" vertical="center" wrapText="1"/>
    </xf>
    <xf numFmtId="0" fontId="62" fillId="0" borderId="2" xfId="14" applyFont="1" applyBorder="1" applyAlignment="1">
      <alignment horizontal="left" vertical="center" wrapText="1"/>
    </xf>
    <xf numFmtId="0" fontId="3" fillId="0" borderId="0" xfId="16"/>
    <xf numFmtId="0" fontId="50" fillId="0" borderId="2" xfId="16" applyFont="1" applyBorder="1" applyAlignment="1">
      <alignment horizontal="center" vertical="center" wrapText="1"/>
    </xf>
    <xf numFmtId="0" fontId="49" fillId="0" borderId="2" xfId="16" applyFont="1" applyBorder="1" applyAlignment="1">
      <alignment horizontal="center" vertical="center"/>
    </xf>
    <xf numFmtId="0" fontId="49" fillId="0" borderId="0" xfId="16" applyFont="1" applyAlignment="1">
      <alignment horizontal="left" vertical="center"/>
    </xf>
    <xf numFmtId="0" fontId="49" fillId="0" borderId="0" xfId="16" applyFont="1" applyAlignment="1">
      <alignment vertical="center"/>
    </xf>
    <xf numFmtId="182" fontId="50" fillId="0" borderId="2" xfId="16" applyNumberFormat="1" applyFont="1" applyBorder="1" applyAlignment="1">
      <alignment horizontal="center" vertical="center" wrapText="1"/>
    </xf>
    <xf numFmtId="182" fontId="49" fillId="0" borderId="0" xfId="16" applyNumberFormat="1" applyFont="1" applyAlignment="1">
      <alignment horizontal="center" vertical="center"/>
    </xf>
    <xf numFmtId="181" fontId="50" fillId="0" borderId="2" xfId="16" applyNumberFormat="1" applyFont="1" applyBorder="1" applyAlignment="1">
      <alignment horizontal="center" vertical="center" wrapText="1"/>
    </xf>
    <xf numFmtId="180" fontId="50" fillId="0" borderId="2" xfId="16" applyNumberFormat="1" applyFont="1" applyBorder="1" applyAlignment="1">
      <alignment horizontal="center" vertical="center" wrapText="1"/>
    </xf>
    <xf numFmtId="180" fontId="49" fillId="0" borderId="0" xfId="16" applyNumberFormat="1" applyFont="1" applyAlignment="1">
      <alignment vertical="center"/>
    </xf>
    <xf numFmtId="181" fontId="49" fillId="0" borderId="0" xfId="16" applyNumberFormat="1" applyFont="1" applyAlignment="1">
      <alignment vertical="center"/>
    </xf>
    <xf numFmtId="182" fontId="49" fillId="0" borderId="0" xfId="16" applyNumberFormat="1" applyFont="1" applyAlignment="1">
      <alignment vertical="center"/>
    </xf>
    <xf numFmtId="0" fontId="49" fillId="0" borderId="0" xfId="16" applyFont="1" applyAlignment="1">
      <alignment vertical="center" wrapText="1"/>
    </xf>
    <xf numFmtId="0" fontId="3" fillId="0" borderId="2" xfId="16" applyBorder="1"/>
    <xf numFmtId="0" fontId="3" fillId="30" borderId="2" xfId="16" applyFill="1" applyBorder="1"/>
    <xf numFmtId="0" fontId="3" fillId="30" borderId="0" xfId="16" applyFill="1"/>
    <xf numFmtId="0" fontId="49" fillId="0" borderId="0" xfId="16" applyFont="1" applyAlignment="1">
      <alignment horizontal="center"/>
    </xf>
    <xf numFmtId="0" fontId="22" fillId="0" borderId="0" xfId="17" applyFont="1">
      <alignment vertical="center"/>
    </xf>
    <xf numFmtId="0" fontId="22" fillId="0" borderId="2" xfId="17" applyFont="1" applyBorder="1" applyAlignment="1">
      <alignment horizontal="center" vertical="center"/>
    </xf>
    <xf numFmtId="0" fontId="22" fillId="0" borderId="2" xfId="17" applyFont="1" applyBorder="1" applyAlignment="1">
      <alignment horizontal="center" vertical="center" wrapText="1"/>
    </xf>
    <xf numFmtId="0" fontId="59" fillId="0" borderId="0" xfId="14">
      <alignment vertical="center"/>
    </xf>
    <xf numFmtId="0" fontId="59" fillId="11" borderId="0" xfId="14" applyFill="1">
      <alignment vertical="center"/>
    </xf>
    <xf numFmtId="0" fontId="3" fillId="0" borderId="2" xfId="16" applyFill="1" applyBorder="1"/>
    <xf numFmtId="0" fontId="3" fillId="0" borderId="0" xfId="16" applyFill="1"/>
    <xf numFmtId="0" fontId="49" fillId="0" borderId="2" xfId="16" applyFont="1" applyBorder="1" applyAlignment="1">
      <alignment horizontal="left" vertical="center"/>
    </xf>
    <xf numFmtId="182" fontId="49" fillId="0" borderId="2" xfId="16" applyNumberFormat="1" applyFont="1" applyBorder="1" applyAlignment="1">
      <alignment horizontal="left" vertical="center"/>
    </xf>
    <xf numFmtId="180" fontId="49" fillId="0" borderId="2" xfId="16" applyNumberFormat="1" applyFont="1" applyBorder="1" applyAlignment="1">
      <alignment horizontal="left" vertical="center"/>
    </xf>
    <xf numFmtId="181" fontId="49" fillId="0" borderId="2" xfId="16" applyNumberFormat="1" applyFont="1" applyBorder="1" applyAlignment="1">
      <alignment horizontal="left" vertical="center"/>
    </xf>
    <xf numFmtId="0" fontId="65" fillId="0" borderId="46" xfId="14" applyFont="1" applyBorder="1" applyAlignment="1">
      <alignment horizontal="left" vertical="center" wrapText="1"/>
    </xf>
    <xf numFmtId="179" fontId="67" fillId="31" borderId="40" xfId="14" applyNumberFormat="1" applyFont="1" applyFill="1" applyBorder="1" applyAlignment="1">
      <alignment vertical="center" wrapText="1"/>
    </xf>
    <xf numFmtId="0" fontId="2" fillId="0" borderId="0" xfId="18" applyAlignment="1">
      <alignment vertical="center"/>
    </xf>
    <xf numFmtId="0" fontId="2" fillId="18" borderId="2" xfId="18" applyFill="1" applyBorder="1" applyAlignment="1">
      <alignment horizontal="center" vertical="center"/>
    </xf>
    <xf numFmtId="177" fontId="2" fillId="18" borderId="2" xfId="18" applyNumberFormat="1" applyFill="1" applyBorder="1" applyAlignment="1">
      <alignment horizontal="center" vertical="center"/>
    </xf>
    <xf numFmtId="0" fontId="2" fillId="27" borderId="2" xfId="18" applyFill="1" applyBorder="1" applyAlignment="1">
      <alignment horizontal="center" vertical="center"/>
    </xf>
    <xf numFmtId="177" fontId="2" fillId="27" borderId="2" xfId="18" applyNumberFormat="1" applyFill="1" applyBorder="1" applyAlignment="1">
      <alignment horizontal="center" vertical="center"/>
    </xf>
    <xf numFmtId="0" fontId="2" fillId="2" borderId="2" xfId="18" applyFill="1" applyBorder="1" applyAlignment="1">
      <alignment horizontal="center" vertical="center"/>
    </xf>
    <xf numFmtId="180" fontId="2" fillId="2" borderId="2" xfId="18" applyNumberFormat="1" applyFill="1" applyBorder="1" applyAlignment="1">
      <alignment horizontal="center" vertical="center"/>
    </xf>
    <xf numFmtId="0" fontId="2" fillId="32" borderId="2" xfId="18" applyFill="1" applyBorder="1" applyAlignment="1">
      <alignment horizontal="center" vertical="center"/>
    </xf>
    <xf numFmtId="180" fontId="2" fillId="32" borderId="2" xfId="18" applyNumberFormat="1" applyFill="1" applyBorder="1" applyAlignment="1">
      <alignment horizontal="center" vertical="center"/>
    </xf>
    <xf numFmtId="0" fontId="2" fillId="33" borderId="2" xfId="18" applyFill="1" applyBorder="1" applyAlignment="1">
      <alignment horizontal="center" vertical="center"/>
    </xf>
    <xf numFmtId="0" fontId="2" fillId="25" borderId="2" xfId="18" applyFill="1" applyBorder="1" applyAlignment="1">
      <alignment horizontal="center" vertical="center"/>
    </xf>
    <xf numFmtId="180" fontId="2" fillId="33" borderId="2" xfId="18" applyNumberFormat="1" applyFill="1" applyBorder="1" applyAlignment="1">
      <alignment horizontal="center" vertical="center"/>
    </xf>
    <xf numFmtId="180" fontId="2" fillId="25" borderId="2" xfId="18" applyNumberFormat="1" applyFill="1" applyBorder="1" applyAlignment="1">
      <alignment horizontal="center" vertical="center"/>
    </xf>
    <xf numFmtId="0" fontId="2" fillId="0" borderId="2" xfId="18" applyBorder="1" applyAlignment="1">
      <alignment horizontal="center" vertical="center"/>
    </xf>
    <xf numFmtId="177" fontId="2" fillId="0" borderId="2" xfId="18" applyNumberFormat="1" applyBorder="1" applyAlignment="1">
      <alignment horizontal="center" vertical="center"/>
    </xf>
    <xf numFmtId="180" fontId="2" fillId="0" borderId="2" xfId="18" applyNumberFormat="1" applyBorder="1" applyAlignment="1">
      <alignment horizontal="center" vertical="center"/>
    </xf>
    <xf numFmtId="0" fontId="2" fillId="0" borderId="0" xfId="18" applyAlignment="1">
      <alignment horizontal="center" vertical="center"/>
    </xf>
    <xf numFmtId="180" fontId="2" fillId="0" borderId="0" xfId="18" applyNumberFormat="1" applyAlignment="1">
      <alignment horizontal="center" vertical="center"/>
    </xf>
    <xf numFmtId="177" fontId="2" fillId="0" borderId="0" xfId="18" applyNumberFormat="1" applyAlignment="1">
      <alignment horizontal="center" vertical="center"/>
    </xf>
    <xf numFmtId="178" fontId="62" fillId="0" borderId="43" xfId="14" applyNumberFormat="1" applyFont="1" applyBorder="1" applyAlignment="1">
      <alignment vertical="center" wrapText="1"/>
    </xf>
    <xf numFmtId="178" fontId="66" fillId="30" borderId="43" xfId="14" applyNumberFormat="1" applyFont="1" applyFill="1" applyBorder="1" applyAlignment="1">
      <alignment vertical="center" wrapText="1"/>
    </xf>
    <xf numFmtId="0" fontId="1" fillId="33" borderId="2" xfId="18" applyFont="1" applyFill="1" applyBorder="1" applyAlignment="1">
      <alignment horizontal="center" vertical="center"/>
    </xf>
    <xf numFmtId="0" fontId="1" fillId="25" borderId="2" xfId="18" applyFont="1" applyFill="1" applyBorder="1" applyAlignment="1">
      <alignment horizontal="center" vertical="center"/>
    </xf>
    <xf numFmtId="0" fontId="64" fillId="0" borderId="0" xfId="14" applyFont="1" applyBorder="1" applyAlignment="1">
      <alignment horizontal="center" vertical="center" wrapText="1"/>
    </xf>
    <xf numFmtId="0" fontId="64" fillId="0" borderId="49" xfId="14" applyFont="1" applyBorder="1" applyAlignment="1">
      <alignment horizontal="center" vertical="center" wrapText="1"/>
    </xf>
    <xf numFmtId="0" fontId="67" fillId="0" borderId="0" xfId="14" applyFont="1" applyBorder="1" applyAlignment="1">
      <alignment horizontal="center" vertical="center" wrapText="1"/>
    </xf>
    <xf numFmtId="0" fontId="67" fillId="0" borderId="26" xfId="14" applyFont="1" applyBorder="1" applyAlignment="1">
      <alignment horizontal="center" vertical="center" wrapText="1"/>
    </xf>
    <xf numFmtId="178" fontId="62" fillId="0" borderId="40" xfId="14" applyNumberFormat="1" applyFont="1" applyBorder="1" applyAlignment="1">
      <alignment vertical="center" wrapText="1"/>
    </xf>
    <xf numFmtId="0" fontId="62" fillId="0" borderId="40" xfId="14" applyFont="1" applyBorder="1" applyAlignment="1">
      <alignment horizontal="left" vertical="center" wrapText="1"/>
    </xf>
    <xf numFmtId="0" fontId="49" fillId="0" borderId="2" xfId="16" applyNumberFormat="1" applyFont="1" applyBorder="1" applyAlignment="1">
      <alignment horizontal="center" vertical="center"/>
    </xf>
    <xf numFmtId="180" fontId="66" fillId="30" borderId="50" xfId="14" applyNumberFormat="1" applyFont="1" applyFill="1" applyBorder="1" applyAlignment="1">
      <alignment horizontal="center" vertical="center" wrapText="1"/>
    </xf>
    <xf numFmtId="0" fontId="67" fillId="31" borderId="50" xfId="14" applyFont="1" applyFill="1" applyBorder="1" applyAlignment="1">
      <alignment horizontal="center" vertical="center" wrapText="1"/>
    </xf>
    <xf numFmtId="181" fontId="62" fillId="0" borderId="40" xfId="14" applyNumberFormat="1" applyFont="1" applyBorder="1" applyAlignment="1">
      <alignment vertical="center" wrapText="1"/>
    </xf>
    <xf numFmtId="182" fontId="62" fillId="0" borderId="40" xfId="14" applyNumberFormat="1" applyFont="1" applyBorder="1" applyAlignment="1">
      <alignment vertical="center" wrapText="1"/>
    </xf>
    <xf numFmtId="0" fontId="63" fillId="17" borderId="8" xfId="14" applyFont="1" applyFill="1" applyBorder="1" applyAlignment="1">
      <alignment horizontal="left" vertical="center" wrapText="1"/>
    </xf>
    <xf numFmtId="0" fontId="63" fillId="17" borderId="0" xfId="14" applyFont="1" applyFill="1" applyAlignment="1">
      <alignment horizontal="left" vertical="center" wrapText="1"/>
    </xf>
    <xf numFmtId="0" fontId="63" fillId="17" borderId="26" xfId="14" applyFont="1" applyFill="1" applyBorder="1" applyAlignment="1">
      <alignment horizontal="left" vertical="center" wrapText="1"/>
    </xf>
    <xf numFmtId="0" fontId="63" fillId="17" borderId="29" xfId="14" applyFont="1" applyFill="1" applyBorder="1" applyAlignment="1">
      <alignment horizontal="left" vertical="center" wrapText="1"/>
    </xf>
    <xf numFmtId="0" fontId="63" fillId="17" borderId="30" xfId="14" applyFont="1" applyFill="1" applyBorder="1" applyAlignment="1">
      <alignment horizontal="left" vertical="center" wrapText="1"/>
    </xf>
    <xf numFmtId="0" fontId="63" fillId="17" borderId="70" xfId="14" applyFont="1" applyFill="1" applyBorder="1" applyAlignment="1">
      <alignment horizontal="left" vertical="center" wrapText="1"/>
    </xf>
    <xf numFmtId="0" fontId="64" fillId="0" borderId="2" xfId="15" applyFont="1" applyBorder="1" applyAlignment="1">
      <alignment horizontal="center" vertical="center" wrapText="1"/>
    </xf>
    <xf numFmtId="0" fontId="64" fillId="0" borderId="7" xfId="15" applyFont="1" applyBorder="1" applyAlignment="1">
      <alignment horizontal="center" vertical="center" wrapText="1"/>
    </xf>
    <xf numFmtId="0" fontId="64" fillId="0" borderId="27" xfId="15" applyFont="1" applyBorder="1" applyAlignment="1">
      <alignment horizontal="center" vertical="center" wrapText="1"/>
    </xf>
    <xf numFmtId="0" fontId="64" fillId="0" borderId="28" xfId="15" applyFont="1" applyBorder="1" applyAlignment="1">
      <alignment horizontal="center" vertical="center" wrapText="1"/>
    </xf>
    <xf numFmtId="0" fontId="60" fillId="29" borderId="36" xfId="14" applyFont="1" applyFill="1" applyBorder="1" applyAlignment="1">
      <alignment horizontal="left" vertical="center" wrapText="1"/>
    </xf>
    <xf numFmtId="0" fontId="60" fillId="29" borderId="37" xfId="14" applyFont="1" applyFill="1" applyBorder="1" applyAlignment="1">
      <alignment horizontal="left" vertical="center" wrapText="1"/>
    </xf>
    <xf numFmtId="0" fontId="60" fillId="29" borderId="38" xfId="14" applyFont="1" applyFill="1" applyBorder="1" applyAlignment="1">
      <alignment horizontal="left" vertical="center" wrapText="1"/>
    </xf>
    <xf numFmtId="0" fontId="60" fillId="29" borderId="25" xfId="14" applyFont="1" applyFill="1" applyBorder="1" applyAlignment="1">
      <alignment horizontal="left" vertical="center" wrapText="1"/>
    </xf>
    <xf numFmtId="0" fontId="62" fillId="0" borderId="47" xfId="14" applyFont="1" applyBorder="1" applyAlignment="1">
      <alignment horizontal="left" vertical="center" wrapText="1"/>
    </xf>
    <xf numFmtId="0" fontId="62" fillId="0" borderId="40" xfId="14" applyFont="1" applyBorder="1" applyAlignment="1">
      <alignment horizontal="left" vertical="center" wrapText="1"/>
    </xf>
    <xf numFmtId="0" fontId="22" fillId="0" borderId="2" xfId="17" applyFont="1" applyBorder="1" applyAlignment="1">
      <alignment horizontal="center" vertical="center"/>
    </xf>
    <xf numFmtId="0" fontId="2" fillId="25" borderId="12" xfId="18" applyFill="1" applyBorder="1" applyAlignment="1">
      <alignment horizontal="center" vertical="center"/>
    </xf>
    <xf numFmtId="0" fontId="2" fillId="25" borderId="13" xfId="18" applyFill="1" applyBorder="1" applyAlignment="1">
      <alignment horizontal="center" vertical="center"/>
    </xf>
    <xf numFmtId="0" fontId="2" fillId="25" borderId="9" xfId="18" applyFill="1" applyBorder="1" applyAlignment="1">
      <alignment horizontal="center" vertical="center"/>
    </xf>
    <xf numFmtId="0" fontId="2" fillId="18" borderId="2" xfId="18" applyFill="1" applyBorder="1" applyAlignment="1">
      <alignment horizontal="center" vertical="center"/>
    </xf>
    <xf numFmtId="0" fontId="2" fillId="27" borderId="12" xfId="18" applyFill="1" applyBorder="1" applyAlignment="1">
      <alignment horizontal="center" vertical="center"/>
    </xf>
    <xf numFmtId="0" fontId="2" fillId="27" borderId="13" xfId="18" applyFill="1" applyBorder="1" applyAlignment="1">
      <alignment horizontal="center" vertical="center"/>
    </xf>
    <xf numFmtId="0" fontId="2" fillId="27" borderId="9" xfId="18" applyFill="1" applyBorder="1" applyAlignment="1">
      <alignment horizontal="center" vertical="center"/>
    </xf>
    <xf numFmtId="0" fontId="2" fillId="2" borderId="12" xfId="18" applyFill="1" applyBorder="1" applyAlignment="1">
      <alignment horizontal="center" vertical="center"/>
    </xf>
    <xf numFmtId="0" fontId="2" fillId="2" borderId="13" xfId="18" applyFill="1" applyBorder="1" applyAlignment="1">
      <alignment horizontal="center" vertical="center"/>
    </xf>
    <xf numFmtId="0" fontId="2" fillId="2" borderId="9" xfId="18" applyFill="1" applyBorder="1" applyAlignment="1">
      <alignment horizontal="center" vertical="center"/>
    </xf>
    <xf numFmtId="0" fontId="2" fillId="32" borderId="2" xfId="18" applyFill="1" applyBorder="1" applyAlignment="1">
      <alignment horizontal="center" vertical="center"/>
    </xf>
    <xf numFmtId="0" fontId="2" fillId="33" borderId="2" xfId="18" applyFill="1" applyBorder="1" applyAlignment="1">
      <alignment horizontal="center" vertical="center"/>
    </xf>
    <xf numFmtId="0" fontId="56" fillId="0" borderId="29" xfId="9" applyFont="1" applyBorder="1" applyAlignment="1">
      <alignment horizontal="center" vertical="center"/>
    </xf>
    <xf numFmtId="0" fontId="56" fillId="0" borderId="30" xfId="9" applyFont="1" applyBorder="1" applyAlignment="1">
      <alignment horizontal="center" vertical="center"/>
    </xf>
    <xf numFmtId="180" fontId="50" fillId="0" borderId="12" xfId="9" applyNumberFormat="1" applyFont="1" applyBorder="1" applyAlignment="1">
      <alignment horizontal="center" vertical="center" wrapText="1"/>
    </xf>
    <xf numFmtId="180" fontId="50" fillId="0" borderId="13" xfId="9" applyNumberFormat="1" applyFont="1" applyBorder="1" applyAlignment="1">
      <alignment horizontal="center" vertical="center" wrapText="1"/>
    </xf>
    <xf numFmtId="180" fontId="50" fillId="0" borderId="9" xfId="9" applyNumberFormat="1" applyFont="1" applyBorder="1" applyAlignment="1">
      <alignment horizontal="center" vertical="center" wrapText="1"/>
    </xf>
    <xf numFmtId="180" fontId="50" fillId="19" borderId="12" xfId="9" applyNumberFormat="1" applyFont="1" applyFill="1" applyBorder="1" applyAlignment="1">
      <alignment horizontal="center" vertical="center" wrapText="1"/>
    </xf>
    <xf numFmtId="180" fontId="50" fillId="19" borderId="13" xfId="9" applyNumberFormat="1" applyFont="1" applyFill="1" applyBorder="1" applyAlignment="1">
      <alignment horizontal="center" vertical="center" wrapText="1"/>
    </xf>
    <xf numFmtId="180" fontId="50" fillId="19" borderId="9" xfId="9" applyNumberFormat="1" applyFont="1" applyFill="1" applyBorder="1" applyAlignment="1">
      <alignment horizontal="center" vertical="center" wrapText="1"/>
    </xf>
    <xf numFmtId="1" fontId="50" fillId="19" borderId="12" xfId="9" applyNumberFormat="1" applyFont="1" applyFill="1" applyBorder="1" applyAlignment="1">
      <alignment horizontal="center" vertical="center" wrapText="1"/>
    </xf>
    <xf numFmtId="1" fontId="50" fillId="19" borderId="13" xfId="9" applyNumberFormat="1" applyFont="1" applyFill="1" applyBorder="1" applyAlignment="1">
      <alignment horizontal="center" vertical="center" wrapText="1"/>
    </xf>
    <xf numFmtId="1" fontId="50" fillId="19" borderId="9" xfId="9" applyNumberFormat="1" applyFont="1" applyFill="1" applyBorder="1" applyAlignment="1">
      <alignment horizontal="center" vertical="center" wrapText="1"/>
    </xf>
    <xf numFmtId="0" fontId="50" fillId="0" borderId="7" xfId="9" applyFont="1" applyBorder="1" applyAlignment="1">
      <alignment horizontal="center" vertical="center" wrapText="1"/>
    </xf>
    <xf numFmtId="0" fontId="50" fillId="0" borderId="28" xfId="9" applyFont="1" applyBorder="1" applyAlignment="1">
      <alignment horizontal="center" vertical="center" wrapText="1"/>
    </xf>
    <xf numFmtId="0" fontId="56" fillId="0" borderId="12" xfId="9" applyFont="1" applyBorder="1" applyAlignment="1">
      <alignment horizontal="center" vertical="center"/>
    </xf>
    <xf numFmtId="0" fontId="56" fillId="0" borderId="13" xfId="9" applyFont="1" applyBorder="1" applyAlignment="1">
      <alignment horizontal="center" vertical="center"/>
    </xf>
    <xf numFmtId="0" fontId="56" fillId="0" borderId="9" xfId="9" applyFont="1" applyBorder="1" applyAlignment="1">
      <alignment horizontal="center" vertical="center"/>
    </xf>
    <xf numFmtId="0" fontId="56" fillId="0" borderId="30" xfId="10" applyFont="1" applyBorder="1" applyAlignment="1">
      <alignment horizontal="center" vertical="center"/>
    </xf>
    <xf numFmtId="0" fontId="47" fillId="4" borderId="9" xfId="0" applyFont="1" applyFill="1" applyBorder="1" applyAlignment="1">
      <alignment horizontal="center" vertical="center"/>
    </xf>
    <xf numFmtId="0" fontId="57" fillId="15" borderId="26" xfId="12" applyFont="1" applyBorder="1" applyAlignment="1">
      <alignment horizontal="center" vertical="center"/>
    </xf>
    <xf numFmtId="0" fontId="50" fillId="0" borderId="31" xfId="0" applyFont="1" applyBorder="1" applyAlignment="1">
      <alignment horizontal="center" vertical="center" wrapText="1"/>
    </xf>
    <xf numFmtId="0" fontId="50" fillId="0" borderId="32" xfId="0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33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left" vertical="center" wrapText="1"/>
    </xf>
    <xf numFmtId="0" fontId="49" fillId="0" borderId="2" xfId="0" applyFont="1" applyBorder="1" applyAlignment="1">
      <alignment horizontal="center" vertical="center" wrapText="1"/>
    </xf>
    <xf numFmtId="0" fontId="26" fillId="0" borderId="0" xfId="0" quotePrefix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41" fillId="14" borderId="26" xfId="1" applyBorder="1" applyAlignment="1">
      <alignment horizontal="center" vertical="center"/>
    </xf>
    <xf numFmtId="0" fontId="44" fillId="16" borderId="26" xfId="13" applyBorder="1" applyAlignment="1">
      <alignment horizontal="center" vertical="center"/>
    </xf>
    <xf numFmtId="0" fontId="58" fillId="0" borderId="34" xfId="0" applyFont="1" applyBorder="1" applyAlignment="1">
      <alignment horizontal="center" vertical="center"/>
    </xf>
    <xf numFmtId="0" fontId="58" fillId="0" borderId="35" xfId="0" applyFont="1" applyBorder="1" applyAlignment="1">
      <alignment horizontal="center" vertical="center"/>
    </xf>
    <xf numFmtId="0" fontId="58" fillId="0" borderId="2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9">
    <cellStyle name="差" xfId="1" builtinId="27"/>
    <cellStyle name="常规" xfId="0" builtinId="0"/>
    <cellStyle name="常规 15" xfId="15" xr:uid="{00000000-0005-0000-0000-000002000000}"/>
    <cellStyle name="常规 2" xfId="2" xr:uid="{00000000-0005-0000-0000-000003000000}"/>
    <cellStyle name="常规 2 2" xfId="17" xr:uid="{00000000-0005-0000-0000-000004000000}"/>
    <cellStyle name="常规 3" xfId="3" xr:uid="{00000000-0005-0000-0000-000005000000}"/>
    <cellStyle name="常规 3 2" xfId="16" xr:uid="{00000000-0005-0000-0000-000006000000}"/>
    <cellStyle name="常规 3 5" xfId="4" xr:uid="{00000000-0005-0000-0000-000007000000}"/>
    <cellStyle name="常规 4" xfId="5" xr:uid="{00000000-0005-0000-0000-000008000000}"/>
    <cellStyle name="常规 4 2" xfId="6" xr:uid="{00000000-0005-0000-0000-000009000000}"/>
    <cellStyle name="常规 5" xfId="7" xr:uid="{00000000-0005-0000-0000-00000A000000}"/>
    <cellStyle name="常规 6" xfId="8" xr:uid="{00000000-0005-0000-0000-00000B000000}"/>
    <cellStyle name="常规 7" xfId="9" xr:uid="{00000000-0005-0000-0000-00000C000000}"/>
    <cellStyle name="常规 7 2" xfId="14" xr:uid="{00000000-0005-0000-0000-00000D000000}"/>
    <cellStyle name="常规 8" xfId="10" xr:uid="{00000000-0005-0000-0000-00000E000000}"/>
    <cellStyle name="常规 9" xfId="18" xr:uid="{00000000-0005-0000-0000-00000F000000}"/>
    <cellStyle name="超链接" xfId="11" builtinId="8"/>
    <cellStyle name="好" xfId="12" builtinId="26"/>
    <cellStyle name="适中" xfId="1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27137</xdr:colOff>
      <xdr:row>7</xdr:row>
      <xdr:rowOff>44661</xdr:rowOff>
    </xdr:from>
    <xdr:to>
      <xdr:col>6</xdr:col>
      <xdr:colOff>150019</xdr:colOff>
      <xdr:row>7</xdr:row>
      <xdr:rowOff>166161</xdr:rowOff>
    </xdr:to>
    <xdr:sp macro="" textlink="">
      <xdr:nvSpPr>
        <xdr:cNvPr id="2" name="iconfont-1124-7204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46937" y="1530561"/>
          <a:ext cx="122882" cy="121500"/>
        </a:xfrm>
        <a:custGeom>
          <a:avLst/>
          <a:gdLst>
            <a:gd name="T0" fmla="*/ 5689 w 11378"/>
            <a:gd name="T1" fmla="*/ 0 h 11378"/>
            <a:gd name="T2" fmla="*/ 0 w 11378"/>
            <a:gd name="T3" fmla="*/ 5689 h 11378"/>
            <a:gd name="T4" fmla="*/ 5689 w 11378"/>
            <a:gd name="T5" fmla="*/ 11378 h 11378"/>
            <a:gd name="T6" fmla="*/ 11378 w 11378"/>
            <a:gd name="T7" fmla="*/ 5689 h 11378"/>
            <a:gd name="T8" fmla="*/ 5689 w 11378"/>
            <a:gd name="T9" fmla="*/ 0 h 11378"/>
            <a:gd name="T10" fmla="*/ 8533 w 11378"/>
            <a:gd name="T11" fmla="*/ 7729 h 11378"/>
            <a:gd name="T12" fmla="*/ 7729 w 11378"/>
            <a:gd name="T13" fmla="*/ 8533 h 11378"/>
            <a:gd name="T14" fmla="*/ 5689 w 11378"/>
            <a:gd name="T15" fmla="*/ 6493 h 11378"/>
            <a:gd name="T16" fmla="*/ 3650 w 11378"/>
            <a:gd name="T17" fmla="*/ 8533 h 11378"/>
            <a:gd name="T18" fmla="*/ 2845 w 11378"/>
            <a:gd name="T19" fmla="*/ 7729 h 11378"/>
            <a:gd name="T20" fmla="*/ 4885 w 11378"/>
            <a:gd name="T21" fmla="*/ 5689 h 11378"/>
            <a:gd name="T22" fmla="*/ 2845 w 11378"/>
            <a:gd name="T23" fmla="*/ 3649 h 11378"/>
            <a:gd name="T24" fmla="*/ 3650 w 11378"/>
            <a:gd name="T25" fmla="*/ 2845 h 11378"/>
            <a:gd name="T26" fmla="*/ 5689 w 11378"/>
            <a:gd name="T27" fmla="*/ 4885 h 11378"/>
            <a:gd name="T28" fmla="*/ 7729 w 11378"/>
            <a:gd name="T29" fmla="*/ 2845 h 11378"/>
            <a:gd name="T30" fmla="*/ 8533 w 11378"/>
            <a:gd name="T31" fmla="*/ 3649 h 11378"/>
            <a:gd name="T32" fmla="*/ 6493 w 11378"/>
            <a:gd name="T33" fmla="*/ 5689 h 11378"/>
            <a:gd name="T34" fmla="*/ 8533 w 11378"/>
            <a:gd name="T35" fmla="*/ 7729 h 113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11378" h="11378">
              <a:moveTo>
                <a:pt x="5689" y="0"/>
              </a:moveTo>
              <a:cubicBezTo>
                <a:pt x="2545" y="0"/>
                <a:pt x="0" y="2545"/>
                <a:pt x="0" y="5689"/>
              </a:cubicBezTo>
              <a:cubicBezTo>
                <a:pt x="0" y="8833"/>
                <a:pt x="2545" y="11378"/>
                <a:pt x="5689" y="11378"/>
              </a:cubicBezTo>
              <a:cubicBezTo>
                <a:pt x="8833" y="11378"/>
                <a:pt x="11378" y="8833"/>
                <a:pt x="11378" y="5689"/>
              </a:cubicBezTo>
              <a:cubicBezTo>
                <a:pt x="11378" y="2545"/>
                <a:pt x="8833" y="0"/>
                <a:pt x="5689" y="0"/>
              </a:cubicBezTo>
              <a:close/>
              <a:moveTo>
                <a:pt x="8533" y="7729"/>
              </a:moveTo>
              <a:lnTo>
                <a:pt x="7729" y="8533"/>
              </a:lnTo>
              <a:lnTo>
                <a:pt x="5689" y="6493"/>
              </a:lnTo>
              <a:lnTo>
                <a:pt x="3650" y="8533"/>
              </a:lnTo>
              <a:lnTo>
                <a:pt x="2845" y="7729"/>
              </a:lnTo>
              <a:lnTo>
                <a:pt x="4885" y="5689"/>
              </a:lnTo>
              <a:lnTo>
                <a:pt x="2845" y="3649"/>
              </a:lnTo>
              <a:lnTo>
                <a:pt x="3650" y="2845"/>
              </a:lnTo>
              <a:lnTo>
                <a:pt x="5689" y="4885"/>
              </a:lnTo>
              <a:lnTo>
                <a:pt x="7729" y="2845"/>
              </a:lnTo>
              <a:lnTo>
                <a:pt x="8533" y="3649"/>
              </a:lnTo>
              <a:lnTo>
                <a:pt x="6493" y="5689"/>
              </a:lnTo>
              <a:lnTo>
                <a:pt x="8533" y="7729"/>
              </a:lnTo>
              <a:close/>
            </a:path>
          </a:pathLst>
        </a:custGeom>
        <a:solidFill>
          <a:srgbClr val="D86344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1257300</xdr:colOff>
      <xdr:row>9</xdr:row>
      <xdr:rowOff>25400</xdr:rowOff>
    </xdr:from>
    <xdr:to>
      <xdr:col>0</xdr:col>
      <xdr:colOff>1397000</xdr:colOff>
      <xdr:row>9</xdr:row>
      <xdr:rowOff>165100</xdr:rowOff>
    </xdr:to>
    <xdr:sp macro="" textlink="">
      <xdr:nvSpPr>
        <xdr:cNvPr id="24577" name="OptionButton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000-00000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190499</xdr:colOff>
          <xdr:row>198</xdr:row>
          <xdr:rowOff>95252</xdr:rowOff>
        </xdr:from>
        <xdr:to>
          <xdr:col>8</xdr:col>
          <xdr:colOff>327327</xdr:colOff>
          <xdr:row>215</xdr:row>
          <xdr:rowOff>8317</xdr:rowOff>
        </xdr:to>
        <xdr:pic>
          <xdr:nvPicPr>
            <xdr:cNvPr id="6" name="图片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曝气沉砂池导图" spid="_x0000_s2481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910666" y="38660919"/>
              <a:ext cx="4116161" cy="5204732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1257300</xdr:colOff>
      <xdr:row>9</xdr:row>
      <xdr:rowOff>25400</xdr:rowOff>
    </xdr:from>
    <xdr:to>
      <xdr:col>0</xdr:col>
      <xdr:colOff>1397000</xdr:colOff>
      <xdr:row>9</xdr:row>
      <xdr:rowOff>165100</xdr:rowOff>
    </xdr:to>
    <xdr:pic>
      <xdr:nvPicPr>
        <xdr:cNvPr id="3" name="OptionButton1">
          <a:extLst>
            <a:ext uri="{FF2B5EF4-FFF2-40B4-BE49-F238E27FC236}">
              <a16:creationId xmlns:a16="http://schemas.microsoft.com/office/drawing/2014/main" id="{B6E1A9E9-4535-CA4D-95F8-BF0211926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1993900"/>
          <a:ext cx="139700" cy="139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141111</xdr:colOff>
      <xdr:row>66</xdr:row>
      <xdr:rowOff>123825</xdr:rowOff>
    </xdr:from>
    <xdr:to>
      <xdr:col>16</xdr:col>
      <xdr:colOff>132280</xdr:colOff>
      <xdr:row>102</xdr:row>
      <xdr:rowOff>151546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3136" y="11439525"/>
          <a:ext cx="8192194" cy="6542821"/>
        </a:xfrm>
        <a:prstGeom prst="rect">
          <a:avLst/>
        </a:prstGeom>
      </xdr:spPr>
    </xdr:pic>
    <xdr:clientData/>
  </xdr:twoCellAnchor>
  <xdr:twoCellAnchor editAs="oneCell">
    <xdr:from>
      <xdr:col>17</xdr:col>
      <xdr:colOff>209549</xdr:colOff>
      <xdr:row>65</xdr:row>
      <xdr:rowOff>91306</xdr:rowOff>
    </xdr:from>
    <xdr:to>
      <xdr:col>25</xdr:col>
      <xdr:colOff>370353</xdr:colOff>
      <xdr:row>90</xdr:row>
      <xdr:rowOff>94509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68399" y="11235556"/>
          <a:ext cx="6856879" cy="4527578"/>
        </a:xfrm>
        <a:prstGeom prst="rect">
          <a:avLst/>
        </a:prstGeom>
      </xdr:spPr>
    </xdr:pic>
    <xdr:clientData/>
  </xdr:twoCellAnchor>
  <xdr:twoCellAnchor editAs="oneCell">
    <xdr:from>
      <xdr:col>17</xdr:col>
      <xdr:colOff>66838</xdr:colOff>
      <xdr:row>92</xdr:row>
      <xdr:rowOff>123825</xdr:rowOff>
    </xdr:from>
    <xdr:to>
      <xdr:col>25</xdr:col>
      <xdr:colOff>560757</xdr:colOff>
      <xdr:row>115</xdr:row>
      <xdr:rowOff>104072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5688" y="15897225"/>
          <a:ext cx="7189994" cy="4142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133350</xdr:colOff>
      <xdr:row>48</xdr:row>
      <xdr:rowOff>0</xdr:rowOff>
    </xdr:from>
    <xdr:to>
      <xdr:col>31</xdr:col>
      <xdr:colOff>142875</xdr:colOff>
      <xdr:row>61</xdr:row>
      <xdr:rowOff>152400</xdr:rowOff>
    </xdr:to>
    <xdr:pic>
      <xdr:nvPicPr>
        <xdr:cNvPr id="22723" name="图片 1">
          <a:extLst>
            <a:ext uri="{FF2B5EF4-FFF2-40B4-BE49-F238E27FC236}">
              <a16:creationId xmlns:a16="http://schemas.microsoft.com/office/drawing/2014/main" id="{00000000-0008-0000-0D00-0000C3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5450" y="9382125"/>
          <a:ext cx="6810375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628650</xdr:colOff>
      <xdr:row>97</xdr:row>
      <xdr:rowOff>9525</xdr:rowOff>
    </xdr:from>
    <xdr:to>
      <xdr:col>13</xdr:col>
      <xdr:colOff>104775</xdr:colOff>
      <xdr:row>136</xdr:row>
      <xdr:rowOff>152400</xdr:rowOff>
    </xdr:to>
    <xdr:pic>
      <xdr:nvPicPr>
        <xdr:cNvPr id="22724" name="图片 1">
          <a:extLst>
            <a:ext uri="{FF2B5EF4-FFF2-40B4-BE49-F238E27FC236}">
              <a16:creationId xmlns:a16="http://schemas.microsoft.com/office/drawing/2014/main" id="{00000000-0008-0000-0D00-0000C4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625" y="18259425"/>
          <a:ext cx="5905500" cy="720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371475</xdr:colOff>
      <xdr:row>9</xdr:row>
      <xdr:rowOff>0</xdr:rowOff>
    </xdr:from>
    <xdr:to>
      <xdr:col>45</xdr:col>
      <xdr:colOff>47625</xdr:colOff>
      <xdr:row>48</xdr:row>
      <xdr:rowOff>123825</xdr:rowOff>
    </xdr:to>
    <xdr:pic>
      <xdr:nvPicPr>
        <xdr:cNvPr id="22725" name="图片 2">
          <a:extLst>
            <a:ext uri="{FF2B5EF4-FFF2-40B4-BE49-F238E27FC236}">
              <a16:creationId xmlns:a16="http://schemas.microsoft.com/office/drawing/2014/main" id="{00000000-0008-0000-0D00-0000C5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8600" y="2324100"/>
          <a:ext cx="10163175" cy="718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619125</xdr:colOff>
      <xdr:row>7</xdr:row>
      <xdr:rowOff>47625</xdr:rowOff>
    </xdr:from>
    <xdr:to>
      <xdr:col>34</xdr:col>
      <xdr:colOff>38100</xdr:colOff>
      <xdr:row>31</xdr:row>
      <xdr:rowOff>66675</xdr:rowOff>
    </xdr:to>
    <xdr:pic>
      <xdr:nvPicPr>
        <xdr:cNvPr id="22726" name="图片 3">
          <a:extLst>
            <a:ext uri="{FF2B5EF4-FFF2-40B4-BE49-F238E27FC236}">
              <a16:creationId xmlns:a16="http://schemas.microsoft.com/office/drawing/2014/main" id="{00000000-0008-0000-0D00-0000C6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4200" y="1914525"/>
          <a:ext cx="7334250" cy="445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514350</xdr:colOff>
      <xdr:row>7</xdr:row>
      <xdr:rowOff>190500</xdr:rowOff>
    </xdr:from>
    <xdr:to>
      <xdr:col>36</xdr:col>
      <xdr:colOff>266700</xdr:colOff>
      <xdr:row>31</xdr:row>
      <xdr:rowOff>133350</xdr:rowOff>
    </xdr:to>
    <xdr:pic>
      <xdr:nvPicPr>
        <xdr:cNvPr id="22727" name="图片 4">
          <a:extLst>
            <a:ext uri="{FF2B5EF4-FFF2-40B4-BE49-F238E27FC236}">
              <a16:creationId xmlns:a16="http://schemas.microsoft.com/office/drawing/2014/main" id="{00000000-0008-0000-0D00-0000C7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6450" y="2057400"/>
          <a:ext cx="998220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自定义 9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06496B"/>
      </a:accent1>
      <a:accent2>
        <a:srgbClr val="327270"/>
      </a:accent2>
      <a:accent3>
        <a:srgbClr val="78BD9B"/>
      </a:accent3>
      <a:accent4>
        <a:srgbClr val="E2EEC0"/>
      </a:accent4>
      <a:accent5>
        <a:srgbClr val="A9D7A8"/>
      </a:accent5>
      <a:accent6>
        <a:srgbClr val="D26C6C"/>
      </a:accent6>
      <a:hlink>
        <a:srgbClr val="46A0C9"/>
      </a:hlink>
      <a:folHlink>
        <a:srgbClr val="9A60A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C:/Users/wudanchen/AppData/Roaming/Microsoft/Excel/0621&#27169;&#22359;&#27719;&#24635;/0621&#27169;&#22359;&#27719;&#24635;/101B&#20013;&#38388;&#25552;&#21319;&#27169;&#22359;/&#26631;&#20934;&#22270;/101-&#24037;&#33402;-&#31895;&#26684;&#26629;&#21450;&#25552;&#21319;&#27893;&#31449;-&#20135;&#21697;&#22270;.dw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329"/>
  <sheetViews>
    <sheetView showGridLines="0" tabSelected="1" topLeftCell="A3" zoomScale="90" zoomScaleNormal="90" workbookViewId="0">
      <selection activeCell="B4" sqref="B4"/>
    </sheetView>
  </sheetViews>
  <sheetFormatPr baseColWidth="10" defaultColWidth="9" defaultRowHeight="16"/>
  <cols>
    <col min="1" max="1" width="19" style="347" customWidth="1"/>
    <col min="2" max="2" width="19.6640625" style="347" customWidth="1"/>
    <col min="3" max="3" width="13.6640625" style="347" customWidth="1"/>
    <col min="4" max="4" width="9" style="347"/>
    <col min="5" max="5" width="16.1640625" style="347" customWidth="1"/>
    <col min="6" max="6" width="17.1640625" style="347" customWidth="1"/>
    <col min="7" max="7" width="22.33203125" style="347" customWidth="1"/>
    <col min="8" max="8" width="12.6640625" style="410" bestFit="1" customWidth="1"/>
    <col min="9" max="9" width="23.6640625" style="347" customWidth="1"/>
    <col min="10" max="10" width="15" style="347" customWidth="1"/>
    <col min="11" max="11" width="15" style="347" bestFit="1" customWidth="1"/>
    <col min="12" max="16384" width="9" style="347"/>
  </cols>
  <sheetData>
    <row r="1" spans="1:11" ht="18">
      <c r="A1" s="565" t="s">
        <v>516</v>
      </c>
      <c r="B1" s="566"/>
      <c r="C1" s="566"/>
      <c r="D1" s="566"/>
      <c r="E1" s="566"/>
      <c r="F1" s="567" t="s">
        <v>517</v>
      </c>
      <c r="G1" s="566"/>
      <c r="H1" s="566"/>
      <c r="I1" s="566"/>
      <c r="J1" s="566"/>
      <c r="K1" s="568"/>
    </row>
    <row r="2" spans="1:11" ht="17">
      <c r="A2" s="555" t="s">
        <v>518</v>
      </c>
      <c r="B2" s="556"/>
      <c r="C2" s="556"/>
      <c r="D2" s="556"/>
      <c r="E2" s="556"/>
      <c r="F2" s="556"/>
      <c r="G2" s="556"/>
      <c r="H2" s="556"/>
      <c r="I2" s="556"/>
      <c r="J2" s="556"/>
      <c r="K2" s="557"/>
    </row>
    <row r="3" spans="1:11" ht="18">
      <c r="A3" s="348" t="s">
        <v>519</v>
      </c>
      <c r="B3" s="349" t="s">
        <v>520</v>
      </c>
      <c r="C3" s="349"/>
      <c r="D3" s="349" t="s">
        <v>521</v>
      </c>
      <c r="E3" s="350" t="s">
        <v>522</v>
      </c>
      <c r="F3" s="351"/>
      <c r="G3" s="351"/>
      <c r="H3" s="351"/>
      <c r="I3" s="351"/>
      <c r="J3" s="351"/>
      <c r="K3" s="352"/>
    </row>
    <row r="4" spans="1:11" ht="17">
      <c r="A4" s="353" t="s">
        <v>523</v>
      </c>
      <c r="B4" s="354">
        <v>90000</v>
      </c>
      <c r="C4" s="355"/>
      <c r="D4" s="356" t="s">
        <v>524</v>
      </c>
      <c r="E4" s="357"/>
      <c r="H4" s="347"/>
      <c r="K4" s="358"/>
    </row>
    <row r="5" spans="1:11" ht="17">
      <c r="A5" s="359" t="s">
        <v>525</v>
      </c>
      <c r="B5" s="360">
        <f>设计流量Q*1000/86400</f>
        <v>1041.6666666666667</v>
      </c>
      <c r="C5" s="361"/>
      <c r="D5" s="347" t="s">
        <v>526</v>
      </c>
      <c r="E5" s="357"/>
      <c r="H5" s="347"/>
      <c r="K5" s="358"/>
    </row>
    <row r="6" spans="1:11" ht="17">
      <c r="A6" s="353" t="s">
        <v>527</v>
      </c>
      <c r="B6" s="362">
        <f ca="1">IF(平均日流量&lt;='辅助-内插法总变化系数'!C3,'辅助-内插法总变化系数'!C4,IF(平均日流量&gt;='辅助-内插法总变化系数'!J3,'辅助-内插法总变化系数'!J4,TREND(OFFSET('辅助-内插法总变化系数'!C3,1,MATCH(平均日流量,'辅助-内插法总变化系数'!C3:J3,1)-1,1,2),OFFSET('辅助-内插法总变化系数'!C3,0,MATCH(平均日流量,'辅助-内插法总变化系数'!C3:J3,1)-1,1,2),平均日流量)))</f>
        <v>1.5</v>
      </c>
      <c r="C6" s="362"/>
      <c r="D6" s="356"/>
      <c r="E6" s="357"/>
      <c r="F6" s="363" t="s">
        <v>528</v>
      </c>
      <c r="G6" s="551" t="s">
        <v>529</v>
      </c>
      <c r="H6" s="347"/>
      <c r="K6" s="358"/>
    </row>
    <row r="7" spans="1:11" ht="17">
      <c r="A7" s="422" t="s">
        <v>867</v>
      </c>
      <c r="B7" s="541">
        <v>-10</v>
      </c>
      <c r="C7" s="365"/>
      <c r="D7" s="366" t="s">
        <v>537</v>
      </c>
      <c r="E7" s="367"/>
      <c r="F7" s="363"/>
      <c r="G7" s="552" t="s">
        <v>531</v>
      </c>
      <c r="H7" s="347"/>
      <c r="K7" s="358"/>
    </row>
    <row r="8" spans="1:11" ht="17">
      <c r="A8" s="422" t="s">
        <v>9</v>
      </c>
      <c r="B8" s="541">
        <v>1</v>
      </c>
      <c r="C8" s="365"/>
      <c r="D8" s="366" t="s">
        <v>537</v>
      </c>
      <c r="E8" s="367"/>
      <c r="F8" s="363"/>
      <c r="G8" s="370" t="s">
        <v>532</v>
      </c>
      <c r="H8" s="347"/>
      <c r="K8" s="358"/>
    </row>
    <row r="9" spans="1:11" ht="17">
      <c r="A9" s="422" t="s">
        <v>150</v>
      </c>
      <c r="B9" s="540">
        <f>IF(ABS(设计液位-提升后液位)=0,"",IF(ABS(设计液位-提升后液位)&gt;=9,12,IF(ABS(设计液位-提升后液位)&lt;=6,5,8)))</f>
        <v>12</v>
      </c>
      <c r="C9" s="540"/>
      <c r="D9" s="366" t="s">
        <v>537</v>
      </c>
      <c r="E9" s="367"/>
      <c r="H9" s="347"/>
      <c r="K9" s="358"/>
    </row>
    <row r="10" spans="1:11" ht="17">
      <c r="A10" s="519" t="s">
        <v>530</v>
      </c>
      <c r="B10" s="364" t="str">
        <f>INDEX('辅助-型号'!$A$1:$AD$4,MATCH(扬程,'辅助-型号'!$A:$A,0),MATCH("流量"&amp;设计流量Q,'辅助-型号'!$1:$1,0))</f>
        <v>BE-JSTSB-QW-9-12</v>
      </c>
      <c r="C10" s="365"/>
      <c r="D10" s="366"/>
      <c r="E10" s="367"/>
      <c r="F10" s="368"/>
      <c r="H10" s="347"/>
      <c r="K10" s="358"/>
    </row>
    <row r="11" spans="1:11" ht="34">
      <c r="A11" s="353" t="s">
        <v>533</v>
      </c>
      <c r="B11" s="373" t="e">
        <f t="array" aca="1" ref="B11" ca="1">IF(AND(B14:B108=C14:C108,B111:B118=C111:C118,B121:B128=C121:C128,B131:B135=C131:C135,B138:B143=C138:C143,B147:B172=C147:C172,B175:B195=C175:C195),型号,"ZDY-JSTSB-QW-"&amp;设计流量Q/10000&amp;"-"&amp;扬程)</f>
        <v>#N/A</v>
      </c>
      <c r="C11" s="374" t="str">
        <f>B10</f>
        <v>BE-JSTSB-QW-9-12</v>
      </c>
      <c r="D11" s="366"/>
      <c r="E11" s="367"/>
      <c r="G11" s="375"/>
      <c r="H11" s="347"/>
      <c r="K11" s="358"/>
    </row>
    <row r="12" spans="1:11" ht="17">
      <c r="A12" s="555" t="s">
        <v>534</v>
      </c>
      <c r="B12" s="556"/>
      <c r="C12" s="556"/>
      <c r="D12" s="556"/>
      <c r="E12" s="556"/>
      <c r="F12" s="556"/>
      <c r="G12" s="556"/>
      <c r="H12" s="556"/>
      <c r="I12" s="556"/>
      <c r="J12" s="556"/>
      <c r="K12" s="557"/>
    </row>
    <row r="13" spans="1:11" s="381" customFormat="1" ht="18">
      <c r="A13" s="348" t="s">
        <v>519</v>
      </c>
      <c r="B13" s="349" t="s">
        <v>520</v>
      </c>
      <c r="C13" s="349"/>
      <c r="D13" s="349" t="s">
        <v>521</v>
      </c>
      <c r="E13" s="350" t="s">
        <v>522</v>
      </c>
      <c r="F13" s="349" t="s">
        <v>519</v>
      </c>
      <c r="G13" s="349" t="s">
        <v>520</v>
      </c>
      <c r="H13" s="349" t="s">
        <v>521</v>
      </c>
      <c r="I13" s="349" t="s">
        <v>522</v>
      </c>
      <c r="J13" s="379" t="s">
        <v>535</v>
      </c>
      <c r="K13" s="380" t="s">
        <v>536</v>
      </c>
    </row>
    <row r="14" spans="1:11" ht="17">
      <c r="A14" s="353" t="s">
        <v>20</v>
      </c>
      <c r="B14" s="376">
        <f>HLOOKUP(型号,'辅助-模块单元解耦'!$C$2:$BJ$47,MATCH(数学建模!$A14,'辅助-模块单元解耦'!$A:$A,0)-1,FALSE)</f>
        <v>4</v>
      </c>
      <c r="C14" s="376">
        <f>HLOOKUP(型号,'辅助-模块单元解耦'!$C$2:$BJ$47,MATCH(数学建模!$A14,'辅助-模块单元解耦'!$A:$A,0)-1,FALSE)</f>
        <v>4</v>
      </c>
      <c r="D14" s="356" t="s">
        <v>629</v>
      </c>
      <c r="E14" s="372"/>
      <c r="F14" s="408"/>
      <c r="G14" s="356"/>
      <c r="H14" s="356"/>
      <c r="I14" s="356"/>
      <c r="J14" s="386"/>
      <c r="K14" s="395"/>
    </row>
    <row r="15" spans="1:11" ht="17">
      <c r="A15" s="353" t="s">
        <v>22</v>
      </c>
      <c r="B15" s="376">
        <f>HLOOKUP(型号,'辅助-模块单元解耦'!$C$2:$BJ$47,MATCH(数学建模!$A15,'辅助-模块单元解耦'!$A:$A,0)-1,FALSE)</f>
        <v>1</v>
      </c>
      <c r="C15" s="376">
        <f>HLOOKUP(型号,'辅助-模块单元解耦'!$C$2:$BJ$47,MATCH(数学建模!$A15,'辅助-模块单元解耦'!$A:$A,0)-1,FALSE)</f>
        <v>1</v>
      </c>
      <c r="D15" s="356" t="s">
        <v>653</v>
      </c>
      <c r="E15" s="357"/>
      <c r="F15" s="377"/>
      <c r="G15" s="371"/>
      <c r="H15" s="371"/>
      <c r="I15" s="371"/>
      <c r="J15" s="386"/>
      <c r="K15" s="378"/>
    </row>
    <row r="16" spans="1:11" ht="17">
      <c r="A16" s="382" t="s">
        <v>837</v>
      </c>
      <c r="B16" s="394">
        <f ca="1">设计流量Q*总变化系数Kz/水泵运行数量/24</f>
        <v>1406.25</v>
      </c>
      <c r="C16" s="394">
        <f ca="1">设计流量Q*总变化系数Kz/水泵运行数量/24</f>
        <v>1406.25</v>
      </c>
      <c r="D16" s="371" t="s">
        <v>838</v>
      </c>
      <c r="E16" s="372"/>
      <c r="F16" s="377"/>
      <c r="G16" s="371"/>
      <c r="H16" s="371"/>
      <c r="I16" s="371"/>
      <c r="J16" s="386"/>
      <c r="K16" s="378"/>
    </row>
    <row r="17" spans="1:11" ht="17">
      <c r="A17" s="382" t="s">
        <v>839</v>
      </c>
      <c r="B17" s="423">
        <v>0.72</v>
      </c>
      <c r="C17" s="423">
        <v>0.72</v>
      </c>
      <c r="D17" s="371"/>
      <c r="E17" s="372"/>
      <c r="F17" s="377"/>
      <c r="G17" s="371"/>
      <c r="H17" s="371"/>
      <c r="I17" s="371"/>
      <c r="J17" s="386"/>
      <c r="K17" s="378"/>
    </row>
    <row r="18" spans="1:11" ht="17">
      <c r="A18" s="382" t="s">
        <v>841</v>
      </c>
      <c r="B18" s="554">
        <f ca="1">ROUND(水泵流量*扬程*9.81*1000/3600/1000/水泵效率,1)</f>
        <v>63.9</v>
      </c>
      <c r="C18" s="554">
        <f ca="1">ROUND(水泵流量*扬程*9.81*1000/3600/1000/水泵效率,1)</f>
        <v>63.9</v>
      </c>
      <c r="D18" s="371" t="s">
        <v>840</v>
      </c>
      <c r="E18" s="372"/>
      <c r="F18" s="377"/>
      <c r="G18" s="371"/>
      <c r="H18" s="371"/>
      <c r="I18" s="371"/>
      <c r="J18" s="386"/>
      <c r="K18" s="378"/>
    </row>
    <row r="19" spans="1:11" ht="17">
      <c r="A19" s="382" t="s">
        <v>842</v>
      </c>
      <c r="B19" s="451">
        <f>HLOOKUP(型号,'辅助-模块单元解耦'!$C$2:$BJ$47,MATCH(数学建模!$A19,'辅助-模块单元解耦'!$A:$A,0)-1,FALSE)</f>
        <v>75</v>
      </c>
      <c r="C19" s="451">
        <f>HLOOKUP(型号,'辅助-模块单元解耦'!$C$2:$BJ$47,MATCH(数学建模!$A19,'辅助-模块单元解耦'!$A:$A,0)-1,FALSE)</f>
        <v>75</v>
      </c>
      <c r="D19" s="371" t="s">
        <v>840</v>
      </c>
      <c r="E19" s="372"/>
      <c r="F19" s="377"/>
      <c r="G19" s="371"/>
      <c r="H19" s="371"/>
      <c r="I19" s="371"/>
      <c r="J19" s="386"/>
      <c r="K19" s="378"/>
    </row>
    <row r="20" spans="1:11" ht="17">
      <c r="A20" s="382" t="s">
        <v>886</v>
      </c>
      <c r="B20" s="376">
        <f>HLOOKUP(型号,'辅助-模块单元解耦'!$C$2:$BJ$47,MATCH(数学建模!$A20,'辅助-模块单元解耦'!$A:$A,0)-1,FALSE)</f>
        <v>6</v>
      </c>
      <c r="C20" s="376">
        <f>HLOOKUP(型号,'辅助-模块单元解耦'!$C$2:$BJ$47,MATCH(数学建模!$A20,'辅助-模块单元解耦'!$A:$A,0)-1,FALSE)</f>
        <v>6</v>
      </c>
      <c r="D20" s="371" t="s">
        <v>793</v>
      </c>
      <c r="E20" s="372"/>
      <c r="F20" s="377"/>
      <c r="G20" s="371"/>
      <c r="H20" s="371"/>
      <c r="I20" s="371"/>
      <c r="J20" s="386"/>
      <c r="K20" s="378"/>
    </row>
    <row r="21" spans="1:11" ht="17">
      <c r="A21" s="382" t="s">
        <v>885</v>
      </c>
      <c r="B21" s="394">
        <f ca="1">水泵流量/集水池停留时间</f>
        <v>234.375</v>
      </c>
      <c r="C21" s="394">
        <f ca="1">水泵流量/集水池停留时间</f>
        <v>234.375</v>
      </c>
      <c r="D21" s="371" t="s">
        <v>558</v>
      </c>
      <c r="E21" s="372"/>
      <c r="F21" s="377"/>
      <c r="G21" s="371"/>
      <c r="H21" s="371"/>
      <c r="I21" s="371"/>
      <c r="J21" s="386"/>
      <c r="K21" s="378"/>
    </row>
    <row r="22" spans="1:11" ht="17">
      <c r="A22" s="382" t="s">
        <v>890</v>
      </c>
      <c r="B22" s="383">
        <f>HLOOKUP(型号,'辅助-模块单元解耦'!$C$2:$BJ$47,MATCH(数学建模!$A22,'辅助-模块单元解耦'!$A:$A,0)-1,FALSE)</f>
        <v>1.2</v>
      </c>
      <c r="C22" s="383">
        <f>HLOOKUP(型号,'辅助-模块单元解耦'!$C$2:$BJ$47,MATCH(数学建模!$A22,'辅助-模块单元解耦'!$A:$A,0)-1,FALSE)</f>
        <v>1.2</v>
      </c>
      <c r="D22" s="371" t="s">
        <v>537</v>
      </c>
      <c r="E22" s="372"/>
      <c r="F22" s="377"/>
      <c r="G22" s="371"/>
      <c r="H22" s="371"/>
      <c r="I22" s="371"/>
      <c r="J22" s="386"/>
      <c r="K22" s="378"/>
    </row>
    <row r="23" spans="1:11" ht="17">
      <c r="A23" s="382" t="s">
        <v>891</v>
      </c>
      <c r="B23" s="383">
        <f>HLOOKUP(型号,'辅助-模块单元解耦'!$C$2:$BJ$47,MATCH(数学建模!$A23,'辅助-模块单元解耦'!$A:$A,0)-1,FALSE)</f>
        <v>2.5</v>
      </c>
      <c r="C23" s="383">
        <f>HLOOKUP(型号,'辅助-模块单元解耦'!$C$2:$BJ$47,MATCH(数学建模!$A23,'辅助-模块单元解耦'!$A:$A,0)-1,FALSE)</f>
        <v>2.5</v>
      </c>
      <c r="D23" s="371" t="s">
        <v>537</v>
      </c>
      <c r="E23" s="372"/>
      <c r="F23" s="377"/>
      <c r="G23" s="371"/>
      <c r="H23" s="371"/>
      <c r="I23" s="371"/>
      <c r="J23" s="386"/>
      <c r="K23" s="378"/>
    </row>
    <row r="24" spans="1:11" ht="17">
      <c r="A24" s="382" t="s">
        <v>892</v>
      </c>
      <c r="B24" s="383">
        <f>HLOOKUP(型号,'辅助-模块单元解耦'!$C$2:$BJ$47,MATCH(数学建模!$A24,'辅助-模块单元解耦'!$A:$A,0)-1,FALSE)</f>
        <v>0.3</v>
      </c>
      <c r="C24" s="383">
        <f>HLOOKUP(型号,'辅助-模块单元解耦'!$C$2:$BJ$47,MATCH(数学建模!$A24,'辅助-模块单元解耦'!$A:$A,0)-1,FALSE)</f>
        <v>0.3</v>
      </c>
      <c r="D24" s="371" t="s">
        <v>537</v>
      </c>
      <c r="E24" s="372"/>
      <c r="F24" s="377"/>
      <c r="G24" s="371"/>
      <c r="H24" s="371"/>
      <c r="I24" s="371"/>
      <c r="J24" s="386"/>
      <c r="K24" s="378"/>
    </row>
    <row r="25" spans="1:11" ht="34">
      <c r="A25" s="382" t="s">
        <v>893</v>
      </c>
      <c r="B25" s="394">
        <f>ABS(设计液位)</f>
        <v>10</v>
      </c>
      <c r="C25" s="394">
        <f>ABS(设计液位)</f>
        <v>10</v>
      </c>
      <c r="D25" s="371" t="s">
        <v>537</v>
      </c>
      <c r="E25" s="372"/>
      <c r="F25" s="377"/>
      <c r="G25" s="371"/>
      <c r="H25" s="371"/>
      <c r="I25" s="371"/>
      <c r="J25" s="386"/>
      <c r="K25" s="378"/>
    </row>
    <row r="26" spans="1:11" ht="17">
      <c r="A26" s="382" t="s">
        <v>894</v>
      </c>
      <c r="B26" s="394">
        <f>集水池有效水深h1+水泵保护液位h2+集水池地面超高h3+集水池工作液面距离地面深度h4</f>
        <v>14</v>
      </c>
      <c r="C26" s="394">
        <f>集水池有效水深h1+水泵保护液位h2+集水池地面超高h3+集水池工作液面距离地面深度h4</f>
        <v>14</v>
      </c>
      <c r="D26" s="371" t="s">
        <v>537</v>
      </c>
      <c r="E26" s="372"/>
      <c r="F26" s="377"/>
      <c r="G26" s="371"/>
      <c r="H26" s="371"/>
      <c r="I26" s="371"/>
      <c r="J26" s="386"/>
      <c r="K26" s="378"/>
    </row>
    <row r="27" spans="1:11" ht="17">
      <c r="A27" s="382" t="s">
        <v>895</v>
      </c>
      <c r="B27" s="394">
        <f ca="1">集水池有效池容/集水池有效水深h1</f>
        <v>195.3125</v>
      </c>
      <c r="C27" s="394">
        <f ca="1">集水池有效池容/集水池有效水深h1</f>
        <v>195.3125</v>
      </c>
      <c r="D27" s="371" t="s">
        <v>896</v>
      </c>
      <c r="E27" s="372"/>
      <c r="F27" s="377"/>
      <c r="G27" s="371"/>
      <c r="H27" s="371"/>
      <c r="I27" s="371"/>
      <c r="J27" s="386"/>
      <c r="K27" s="378"/>
    </row>
    <row r="28" spans="1:11" ht="17">
      <c r="A28" s="382" t="s">
        <v>907</v>
      </c>
      <c r="B28" s="383">
        <f>HLOOKUP(型号,'辅助-模块单元解耦'!$C$2:$BJ$47,MATCH(数学建模!$A28,'辅助-模块单元解耦'!$A:$A,0)-1,FALSE)</f>
        <v>17.3</v>
      </c>
      <c r="C28" s="383">
        <f>HLOOKUP(型号,'辅助-模块单元解耦'!$C$2:$BJ$47,MATCH(数学建模!$A28,'辅助-模块单元解耦'!$A:$A,0)-1,FALSE)</f>
        <v>17.3</v>
      </c>
      <c r="D28" s="371" t="s">
        <v>537</v>
      </c>
      <c r="E28" s="372"/>
      <c r="F28" s="377"/>
      <c r="G28" s="371"/>
      <c r="H28" s="371"/>
      <c r="I28" s="371"/>
      <c r="J28" s="386"/>
      <c r="K28" s="378"/>
    </row>
    <row r="29" spans="1:11" ht="17">
      <c r="A29" s="382" t="s">
        <v>908</v>
      </c>
      <c r="B29" s="383">
        <f>HLOOKUP(型号,'辅助-模块单元解耦'!$C$2:$BJ$47,MATCH(数学建模!$A29,'辅助-模块单元解耦'!$A:$A,0)-1,FALSE)</f>
        <v>11.5</v>
      </c>
      <c r="C29" s="383">
        <f>HLOOKUP(型号,'辅助-模块单元解耦'!$C$2:$BJ$47,MATCH(数学建模!$A29,'辅助-模块单元解耦'!$A:$A,0)-1,FALSE)</f>
        <v>11.5</v>
      </c>
      <c r="D29" s="371" t="s">
        <v>537</v>
      </c>
      <c r="E29" s="372"/>
      <c r="F29" s="384" t="s">
        <v>897</v>
      </c>
      <c r="G29" s="548">
        <f>集水池长L/集水池宽B</f>
        <v>1.5043478260869565</v>
      </c>
      <c r="H29" s="371"/>
      <c r="I29" s="371"/>
      <c r="J29" s="386"/>
      <c r="K29" s="378"/>
    </row>
    <row r="30" spans="1:11" ht="17">
      <c r="A30" s="382" t="s">
        <v>847</v>
      </c>
      <c r="B30" s="376">
        <f>HLOOKUP(型号,'辅助-模块单元解耦'!$C$2:$BJ$47,MATCH(数学建模!$A30,'辅助-模块单元解耦'!$A:$A,0)-1,FALSE)</f>
        <v>3</v>
      </c>
      <c r="C30" s="376">
        <f>HLOOKUP(型号,'辅助-模块单元解耦'!$C$2:$BJ$47,MATCH(数学建模!$A30,'辅助-模块单元解耦'!$A:$A,0)-1,FALSE)</f>
        <v>3</v>
      </c>
      <c r="D30" s="371" t="s">
        <v>848</v>
      </c>
      <c r="E30" s="372"/>
      <c r="F30" s="377"/>
      <c r="G30" s="371"/>
      <c r="H30" s="371"/>
      <c r="I30" s="371"/>
      <c r="J30" s="386"/>
      <c r="K30" s="378"/>
    </row>
    <row r="31" spans="1:11" ht="17">
      <c r="A31" s="382" t="s">
        <v>843</v>
      </c>
      <c r="B31" s="451">
        <f>HLOOKUP(型号,'辅助-模块单元解耦'!$C$2:$BJ$47,MATCH(数学建模!$A31,'辅助-模块单元解耦'!$A:$A,0)-1,FALSE)</f>
        <v>1.2</v>
      </c>
      <c r="C31" s="451">
        <f>HLOOKUP(型号,'辅助-模块单元解耦'!$C$2:$BJ$47,MATCH(数学建模!$A31,'辅助-模块单元解耦'!$A:$A,0)-1,FALSE)</f>
        <v>1.2</v>
      </c>
      <c r="D31" s="371" t="s">
        <v>143</v>
      </c>
      <c r="E31" s="372"/>
      <c r="F31" s="384" t="s">
        <v>845</v>
      </c>
      <c r="G31" s="360">
        <f ca="1">设计流量Q*总变化系数Kz/闸门数量/过水孔宽/过水孔高/86400</f>
        <v>0.36168981481481483</v>
      </c>
      <c r="H31" s="393" t="s">
        <v>79</v>
      </c>
      <c r="I31" s="371"/>
      <c r="J31" s="386"/>
      <c r="K31" s="387"/>
    </row>
    <row r="32" spans="1:11" ht="17">
      <c r="A32" s="382" t="s">
        <v>844</v>
      </c>
      <c r="B32" s="451">
        <f>HLOOKUP(型号,'辅助-模块单元解耦'!$C$2:$BJ$47,MATCH(数学建模!$A32,'辅助-模块单元解耦'!$A:$A,0)-1,FALSE)</f>
        <v>1.2</v>
      </c>
      <c r="C32" s="451">
        <f>HLOOKUP(型号,'辅助-模块单元解耦'!$C$2:$BJ$47,MATCH(数学建模!$A32,'辅助-模块单元解耦'!$A:$A,0)-1,FALSE)</f>
        <v>1.2</v>
      </c>
      <c r="D32" s="371" t="s">
        <v>143</v>
      </c>
      <c r="E32" s="372"/>
      <c r="F32" s="384" t="s">
        <v>846</v>
      </c>
      <c r="G32" s="360">
        <f>设计流量Q/闸门数量/过水孔宽/过水孔高/86400</f>
        <v>0.24112654320987656</v>
      </c>
      <c r="H32" s="393" t="s">
        <v>79</v>
      </c>
      <c r="I32" s="371"/>
      <c r="J32" s="386"/>
      <c r="K32" s="387"/>
    </row>
    <row r="33" spans="1:11" ht="17">
      <c r="A33" s="382" t="s">
        <v>875</v>
      </c>
      <c r="B33" s="376">
        <f>HLOOKUP(型号,'辅助-模块单元解耦'!$C$2:$BJ$47,MATCH(数学建模!$A33,'辅助-模块单元解耦'!$A:$A,0)-1,FALSE)</f>
        <v>3</v>
      </c>
      <c r="C33" s="376">
        <f>HLOOKUP(型号,'辅助-模块单元解耦'!$C$2:$BJ$47,MATCH(数学建模!$A33,'辅助-模块单元解耦'!$A:$A,0)-1,FALSE)</f>
        <v>3</v>
      </c>
      <c r="D33" s="371" t="s">
        <v>653</v>
      </c>
      <c r="E33" s="372"/>
      <c r="F33" s="377"/>
      <c r="G33" s="371"/>
      <c r="H33" s="371"/>
      <c r="I33" s="371"/>
      <c r="J33" s="386"/>
      <c r="K33" s="378"/>
    </row>
    <row r="34" spans="1:11" ht="17">
      <c r="A34" s="382" t="s">
        <v>876</v>
      </c>
      <c r="B34" s="376">
        <f>HLOOKUP(型号,'辅助-模块单元解耦'!$C$2:$BJ$47,MATCH(数学建模!$A34,'辅助-模块单元解耦'!$A:$A,0)-1,FALSE)</f>
        <v>3</v>
      </c>
      <c r="C34" s="376">
        <f>HLOOKUP(型号,'辅助-模块单元解耦'!$C$2:$BJ$47,MATCH(数学建模!$A34,'辅助-模块单元解耦'!$A:$A,0)-1,FALSE)</f>
        <v>3</v>
      </c>
      <c r="D34" s="371" t="s">
        <v>653</v>
      </c>
      <c r="E34" s="372"/>
      <c r="F34" s="377"/>
      <c r="G34" s="371"/>
      <c r="H34" s="371"/>
      <c r="I34" s="371"/>
      <c r="J34" s="386"/>
      <c r="K34" s="378"/>
    </row>
    <row r="35" spans="1:11" ht="17">
      <c r="A35" s="382" t="s">
        <v>903</v>
      </c>
      <c r="B35" s="553">
        <f>左泵室泵位+右泵室泵位</f>
        <v>6</v>
      </c>
      <c r="C35" s="553">
        <f>左泵室泵位+右泵室泵位</f>
        <v>6</v>
      </c>
      <c r="D35" s="371" t="s">
        <v>653</v>
      </c>
      <c r="E35" s="372"/>
      <c r="F35" s="384"/>
      <c r="G35" s="360"/>
      <c r="H35" s="549"/>
      <c r="I35" s="371"/>
      <c r="J35" s="386"/>
      <c r="K35" s="387"/>
    </row>
    <row r="36" spans="1:11">
      <c r="A36" s="382"/>
      <c r="B36" s="520"/>
      <c r="C36" s="520"/>
      <c r="D36" s="371"/>
      <c r="E36" s="372"/>
      <c r="F36" s="377"/>
      <c r="G36" s="371"/>
      <c r="H36" s="371"/>
      <c r="I36" s="371"/>
      <c r="J36" s="386"/>
      <c r="K36" s="378"/>
    </row>
    <row r="37" spans="1:11">
      <c r="A37" s="382"/>
      <c r="B37" s="520"/>
      <c r="C37" s="520"/>
      <c r="D37" s="371"/>
      <c r="E37" s="372"/>
      <c r="F37" s="377"/>
      <c r="G37" s="371"/>
      <c r="H37" s="371"/>
      <c r="I37" s="371"/>
      <c r="J37" s="386"/>
      <c r="K37" s="378"/>
    </row>
    <row r="38" spans="1:11">
      <c r="A38" s="382"/>
      <c r="B38" s="520"/>
      <c r="C38" s="520"/>
      <c r="D38" s="371"/>
      <c r="E38" s="372"/>
      <c r="F38" s="377"/>
      <c r="G38" s="371"/>
      <c r="H38" s="371"/>
      <c r="I38" s="371"/>
      <c r="J38" s="386"/>
      <c r="K38" s="378"/>
    </row>
    <row r="39" spans="1:11">
      <c r="A39" s="382"/>
      <c r="B39" s="520"/>
      <c r="C39" s="520"/>
      <c r="D39" s="371"/>
      <c r="E39" s="372"/>
      <c r="F39" s="377"/>
      <c r="G39" s="371"/>
      <c r="H39" s="371"/>
      <c r="I39" s="371"/>
      <c r="J39" s="386"/>
      <c r="K39" s="378"/>
    </row>
    <row r="40" spans="1:11">
      <c r="A40" s="382"/>
      <c r="B40" s="520"/>
      <c r="C40" s="520"/>
      <c r="D40" s="371"/>
      <c r="E40" s="372"/>
      <c r="F40" s="377"/>
      <c r="G40" s="371"/>
      <c r="H40" s="371"/>
      <c r="I40" s="371"/>
      <c r="J40" s="386"/>
      <c r="K40" s="378"/>
    </row>
    <row r="41" spans="1:11">
      <c r="A41" s="382"/>
      <c r="B41" s="520"/>
      <c r="C41" s="520"/>
      <c r="D41" s="371"/>
      <c r="E41" s="372"/>
      <c r="F41" s="377"/>
      <c r="G41" s="371"/>
      <c r="H41" s="371"/>
      <c r="I41" s="371"/>
      <c r="J41" s="386"/>
      <c r="K41" s="378"/>
    </row>
    <row r="42" spans="1:11">
      <c r="A42" s="382"/>
      <c r="B42" s="520"/>
      <c r="C42" s="520"/>
      <c r="D42" s="371"/>
      <c r="E42" s="372"/>
      <c r="F42" s="377"/>
      <c r="G42" s="371"/>
      <c r="H42" s="371"/>
      <c r="I42" s="371"/>
      <c r="J42" s="386"/>
      <c r="K42" s="378"/>
    </row>
    <row r="43" spans="1:11">
      <c r="A43" s="382"/>
      <c r="B43" s="520"/>
      <c r="C43" s="520"/>
      <c r="D43" s="371"/>
      <c r="E43" s="372"/>
      <c r="F43" s="377"/>
      <c r="G43" s="371"/>
      <c r="H43" s="371"/>
      <c r="I43" s="371"/>
      <c r="J43" s="386"/>
      <c r="K43" s="378"/>
    </row>
    <row r="44" spans="1:11">
      <c r="A44" s="382"/>
      <c r="B44" s="520"/>
      <c r="C44" s="520"/>
      <c r="D44" s="371"/>
      <c r="E44" s="372"/>
      <c r="F44" s="377"/>
      <c r="G44" s="371"/>
      <c r="H44" s="371"/>
      <c r="I44" s="371"/>
      <c r="J44" s="386"/>
      <c r="K44" s="378"/>
    </row>
    <row r="45" spans="1:11">
      <c r="A45" s="382"/>
      <c r="B45" s="520"/>
      <c r="C45" s="520"/>
      <c r="D45" s="371"/>
      <c r="E45" s="372"/>
      <c r="F45" s="377"/>
      <c r="G45" s="371"/>
      <c r="H45" s="371"/>
      <c r="I45" s="371"/>
      <c r="J45" s="386"/>
      <c r="K45" s="378"/>
    </row>
    <row r="46" spans="1:11">
      <c r="A46" s="382"/>
      <c r="B46" s="520"/>
      <c r="C46" s="520"/>
      <c r="D46" s="371"/>
      <c r="E46" s="372"/>
      <c r="F46" s="377"/>
      <c r="G46" s="371"/>
      <c r="H46" s="371"/>
      <c r="I46" s="371"/>
      <c r="J46" s="386"/>
      <c r="K46" s="378"/>
    </row>
    <row r="47" spans="1:11">
      <c r="A47" s="382"/>
      <c r="B47" s="520"/>
      <c r="C47" s="520"/>
      <c r="D47" s="371"/>
      <c r="E47" s="372"/>
      <c r="F47" s="377"/>
      <c r="G47" s="371"/>
      <c r="H47" s="371"/>
      <c r="I47" s="371"/>
      <c r="J47" s="386"/>
      <c r="K47" s="378"/>
    </row>
    <row r="48" spans="1:11">
      <c r="A48" s="382"/>
      <c r="B48" s="520"/>
      <c r="C48" s="520"/>
      <c r="D48" s="371"/>
      <c r="E48" s="372"/>
      <c r="F48" s="377"/>
      <c r="G48" s="371"/>
      <c r="H48" s="371"/>
      <c r="I48" s="371"/>
      <c r="J48" s="386"/>
      <c r="K48" s="378"/>
    </row>
    <row r="49" spans="1:11">
      <c r="A49" s="382"/>
      <c r="B49" s="520"/>
      <c r="C49" s="520"/>
      <c r="D49" s="371"/>
      <c r="E49" s="372"/>
      <c r="F49" s="377"/>
      <c r="G49" s="371"/>
      <c r="H49" s="371"/>
      <c r="I49" s="371"/>
      <c r="J49" s="386"/>
      <c r="K49" s="378"/>
    </row>
    <row r="50" spans="1:11">
      <c r="A50" s="382"/>
      <c r="B50" s="520"/>
      <c r="C50" s="520"/>
      <c r="D50" s="371"/>
      <c r="E50" s="372"/>
      <c r="F50" s="377"/>
      <c r="G50" s="371"/>
      <c r="H50" s="371"/>
      <c r="I50" s="371"/>
      <c r="J50" s="386"/>
      <c r="K50" s="378"/>
    </row>
    <row r="51" spans="1:11">
      <c r="A51" s="382"/>
      <c r="B51" s="520"/>
      <c r="C51" s="520"/>
      <c r="D51" s="371"/>
      <c r="E51" s="372"/>
      <c r="F51" s="377"/>
      <c r="G51" s="371"/>
      <c r="H51" s="371"/>
      <c r="I51" s="371"/>
      <c r="J51" s="386"/>
      <c r="K51" s="378"/>
    </row>
    <row r="52" spans="1:11">
      <c r="A52" s="382"/>
      <c r="B52" s="520"/>
      <c r="C52" s="520"/>
      <c r="D52" s="371"/>
      <c r="E52" s="372"/>
      <c r="F52" s="377"/>
      <c r="G52" s="371"/>
      <c r="H52" s="371"/>
      <c r="I52" s="371"/>
      <c r="J52" s="386"/>
      <c r="K52" s="378"/>
    </row>
    <row r="53" spans="1:11">
      <c r="A53" s="382"/>
      <c r="B53" s="520"/>
      <c r="C53" s="520"/>
      <c r="D53" s="371"/>
      <c r="E53" s="372"/>
      <c r="F53" s="377"/>
      <c r="G53" s="371"/>
      <c r="H53" s="371"/>
      <c r="I53" s="371"/>
      <c r="J53" s="386"/>
      <c r="K53" s="378"/>
    </row>
    <row r="54" spans="1:11">
      <c r="A54" s="382"/>
      <c r="B54" s="520"/>
      <c r="C54" s="520"/>
      <c r="D54" s="371"/>
      <c r="E54" s="372"/>
      <c r="F54" s="377"/>
      <c r="G54" s="371"/>
      <c r="H54" s="371"/>
      <c r="I54" s="371"/>
      <c r="J54" s="386"/>
      <c r="K54" s="378"/>
    </row>
    <row r="55" spans="1:11">
      <c r="A55" s="382"/>
      <c r="B55" s="520"/>
      <c r="C55" s="520"/>
      <c r="D55" s="371"/>
      <c r="E55" s="372"/>
      <c r="F55" s="377"/>
      <c r="G55" s="371"/>
      <c r="H55" s="371"/>
      <c r="I55" s="371"/>
      <c r="J55" s="386"/>
      <c r="K55" s="378"/>
    </row>
    <row r="56" spans="1:11">
      <c r="A56" s="382"/>
      <c r="B56" s="520"/>
      <c r="C56" s="520"/>
      <c r="D56" s="371"/>
      <c r="E56" s="372"/>
      <c r="F56" s="377"/>
      <c r="G56" s="371"/>
      <c r="H56" s="371"/>
      <c r="I56" s="371"/>
      <c r="J56" s="386"/>
      <c r="K56" s="378"/>
    </row>
    <row r="57" spans="1:11">
      <c r="A57" s="382"/>
      <c r="B57" s="520"/>
      <c r="C57" s="520"/>
      <c r="D57" s="371"/>
      <c r="E57" s="372"/>
      <c r="F57" s="377"/>
      <c r="G57" s="371"/>
      <c r="H57" s="371"/>
      <c r="I57" s="371"/>
      <c r="J57" s="386"/>
      <c r="K57" s="378"/>
    </row>
    <row r="58" spans="1:11">
      <c r="A58" s="382"/>
      <c r="B58" s="520"/>
      <c r="C58" s="520"/>
      <c r="D58" s="371"/>
      <c r="E58" s="372"/>
      <c r="F58" s="377"/>
      <c r="G58" s="371"/>
      <c r="H58" s="371"/>
      <c r="I58" s="371"/>
      <c r="J58" s="386"/>
      <c r="K58" s="378"/>
    </row>
    <row r="59" spans="1:11">
      <c r="A59" s="382"/>
      <c r="B59" s="520"/>
      <c r="C59" s="520"/>
      <c r="D59" s="371"/>
      <c r="E59" s="372"/>
      <c r="F59" s="377"/>
      <c r="G59" s="371"/>
      <c r="H59" s="371"/>
      <c r="I59" s="371"/>
      <c r="J59" s="386"/>
      <c r="K59" s="378"/>
    </row>
    <row r="60" spans="1:11">
      <c r="A60" s="382"/>
      <c r="B60" s="520"/>
      <c r="C60" s="520"/>
      <c r="D60" s="371"/>
      <c r="E60" s="372"/>
      <c r="F60" s="377"/>
      <c r="G60" s="371"/>
      <c r="H60" s="371"/>
      <c r="I60" s="371"/>
      <c r="J60" s="386"/>
      <c r="K60" s="378"/>
    </row>
    <row r="61" spans="1:11">
      <c r="A61" s="382"/>
      <c r="B61" s="520"/>
      <c r="C61" s="520"/>
      <c r="D61" s="371"/>
      <c r="E61" s="372"/>
      <c r="F61" s="377"/>
      <c r="G61" s="371"/>
      <c r="H61" s="371"/>
      <c r="I61" s="371"/>
      <c r="J61" s="386"/>
      <c r="K61" s="378"/>
    </row>
    <row r="62" spans="1:11">
      <c r="A62" s="382"/>
      <c r="B62" s="520"/>
      <c r="C62" s="520"/>
      <c r="D62" s="371"/>
      <c r="E62" s="372"/>
      <c r="F62" s="377"/>
      <c r="G62" s="371"/>
      <c r="H62" s="371"/>
      <c r="I62" s="371"/>
      <c r="J62" s="386"/>
      <c r="K62" s="378"/>
    </row>
    <row r="63" spans="1:11">
      <c r="A63" s="382"/>
      <c r="B63" s="520"/>
      <c r="C63" s="520"/>
      <c r="D63" s="371"/>
      <c r="E63" s="372"/>
      <c r="F63" s="377"/>
      <c r="G63" s="371"/>
      <c r="H63" s="371"/>
      <c r="I63" s="371"/>
      <c r="J63" s="386"/>
      <c r="K63" s="378"/>
    </row>
    <row r="64" spans="1:11">
      <c r="A64" s="382"/>
      <c r="B64" s="520"/>
      <c r="C64" s="520"/>
      <c r="D64" s="371"/>
      <c r="E64" s="372"/>
      <c r="F64" s="377"/>
      <c r="G64" s="371"/>
      <c r="H64" s="371"/>
      <c r="I64" s="371"/>
      <c r="J64" s="386"/>
      <c r="K64" s="378"/>
    </row>
    <row r="65" spans="1:11">
      <c r="A65" s="382"/>
      <c r="B65" s="520"/>
      <c r="C65" s="520"/>
      <c r="D65" s="371"/>
      <c r="E65" s="372"/>
      <c r="F65" s="377"/>
      <c r="G65" s="371"/>
      <c r="H65" s="371"/>
      <c r="I65" s="371"/>
      <c r="J65" s="386"/>
      <c r="K65" s="378"/>
    </row>
    <row r="66" spans="1:11">
      <c r="A66" s="382"/>
      <c r="B66" s="520"/>
      <c r="C66" s="520"/>
      <c r="D66" s="371"/>
      <c r="E66" s="372"/>
      <c r="F66" s="377"/>
      <c r="G66" s="371"/>
      <c r="H66" s="371"/>
      <c r="I66" s="371"/>
      <c r="J66" s="386"/>
      <c r="K66" s="378"/>
    </row>
    <row r="67" spans="1:11">
      <c r="A67" s="382"/>
      <c r="B67" s="520"/>
      <c r="C67" s="520"/>
      <c r="D67" s="371"/>
      <c r="E67" s="372"/>
      <c r="F67" s="377"/>
      <c r="G67" s="371"/>
      <c r="H67" s="371"/>
      <c r="I67" s="371"/>
      <c r="J67" s="386"/>
      <c r="K67" s="378"/>
    </row>
    <row r="68" spans="1:11">
      <c r="A68" s="382"/>
      <c r="B68" s="520"/>
      <c r="C68" s="520"/>
      <c r="D68" s="371"/>
      <c r="E68" s="372"/>
      <c r="F68" s="377"/>
      <c r="G68" s="371"/>
      <c r="H68" s="371"/>
      <c r="I68" s="371"/>
      <c r="J68" s="386"/>
      <c r="K68" s="378"/>
    </row>
    <row r="69" spans="1:11">
      <c r="A69" s="382"/>
      <c r="B69" s="520"/>
      <c r="C69" s="520"/>
      <c r="D69" s="371"/>
      <c r="E69" s="372"/>
      <c r="F69" s="377"/>
      <c r="G69" s="371"/>
      <c r="H69" s="371"/>
      <c r="I69" s="371"/>
      <c r="J69" s="386"/>
      <c r="K69" s="378"/>
    </row>
    <row r="70" spans="1:11" ht="17">
      <c r="A70" s="555" t="s">
        <v>872</v>
      </c>
      <c r="B70" s="556"/>
      <c r="C70" s="556"/>
      <c r="D70" s="556"/>
      <c r="E70" s="556"/>
      <c r="F70" s="556"/>
      <c r="G70" s="556"/>
      <c r="H70" s="556"/>
      <c r="I70" s="556"/>
      <c r="J70" s="556"/>
      <c r="K70" s="557"/>
    </row>
    <row r="71" spans="1:11" s="381" customFormat="1" ht="18">
      <c r="A71" s="348" t="s">
        <v>519</v>
      </c>
      <c r="B71" s="349" t="s">
        <v>520</v>
      </c>
      <c r="C71" s="349"/>
      <c r="D71" s="349" t="s">
        <v>521</v>
      </c>
      <c r="E71" s="350" t="s">
        <v>522</v>
      </c>
      <c r="F71" s="349" t="s">
        <v>519</v>
      </c>
      <c r="G71" s="349" t="s">
        <v>520</v>
      </c>
      <c r="H71" s="349" t="s">
        <v>521</v>
      </c>
      <c r="I71" s="349" t="s">
        <v>522</v>
      </c>
      <c r="J71" s="379" t="s">
        <v>535</v>
      </c>
      <c r="K71" s="380" t="s">
        <v>536</v>
      </c>
    </row>
    <row r="72" spans="1:11" ht="17">
      <c r="A72" s="382" t="s">
        <v>873</v>
      </c>
      <c r="B72" s="383">
        <f ca="1">153.54*(水泵流量*1000/3600)^0.5049/1000</f>
        <v>3.1246485596849665</v>
      </c>
      <c r="C72" s="383" t="e">
        <f>HLOOKUP(型号,'辅助-模块单元解耦'!$K$2:$BJ$47,MATCH(数学建模!$A72,'辅助-模块单元解耦'!$A:$A,0)-1,FALSE)</f>
        <v>#N/A</v>
      </c>
      <c r="D72" s="371" t="s">
        <v>537</v>
      </c>
      <c r="E72" s="372"/>
      <c r="F72" s="388" t="s">
        <v>873</v>
      </c>
      <c r="G72" s="389">
        <f ca="1">153.54*(水泵流量*1000/3600)^0.5049/1000</f>
        <v>3.1246485596849665</v>
      </c>
      <c r="H72" s="390" t="s">
        <v>538</v>
      </c>
      <c r="I72" s="372"/>
      <c r="J72" s="386"/>
      <c r="K72" s="387"/>
    </row>
    <row r="73" spans="1:11" ht="51">
      <c r="A73" s="382" t="s">
        <v>868</v>
      </c>
      <c r="B73" s="383" t="e">
        <f>HLOOKUP(型号,'辅助-模块单元解耦'!$K$2:$BJ$47,MATCH(数学建模!$A73,'辅助-模块单元解耦'!$A:$A,0)-1,FALSE)</f>
        <v>#N/A</v>
      </c>
      <c r="C73" s="383" t="e">
        <f>HLOOKUP(型号,'辅助-模块单元解耦'!$K$2:$BJ$47,MATCH(数学建模!$A73,'辅助-模块单元解耦'!$A:$A,0)-1,FALSE)</f>
        <v>#N/A</v>
      </c>
      <c r="D73" s="371" t="s">
        <v>538</v>
      </c>
      <c r="E73" s="357" t="s">
        <v>539</v>
      </c>
      <c r="F73" s="388" t="s">
        <v>900</v>
      </c>
      <c r="G73" s="389">
        <f ca="1">66.959*(水泵流量*1000/3600)^0.5023/1000</f>
        <v>1.3416833319988823</v>
      </c>
      <c r="H73" s="390" t="s">
        <v>538</v>
      </c>
    </row>
    <row r="74" spans="1:11" ht="17">
      <c r="A74" s="382" t="s">
        <v>850</v>
      </c>
      <c r="B74" s="383">
        <f>HLOOKUP(型号,'辅助-模块单元解耦'!$K$2:$BJ$47,MATCH(数学建模!$A74,'辅助-模块单元解耦'!$A:$A,0)-1,FALSE)</f>
        <v>0</v>
      </c>
      <c r="C74" s="383">
        <f>HLOOKUP(型号,'辅助-模块单元解耦'!$K$2:$BJ$47,MATCH(数学建模!$A74,'辅助-模块单元解耦'!$A:$A,0)-1,FALSE)</f>
        <v>0</v>
      </c>
      <c r="D74" s="371" t="s">
        <v>537</v>
      </c>
      <c r="E74" s="357"/>
      <c r="F74" s="388" t="s">
        <v>901</v>
      </c>
      <c r="G74" s="389">
        <f ca="1">33.132*(水泵流量*1000/3600)^0.5007/1000</f>
        <v>0.65756986475912027</v>
      </c>
      <c r="H74" s="390" t="s">
        <v>538</v>
      </c>
    </row>
    <row r="75" spans="1:11" ht="17">
      <c r="A75" s="382" t="s">
        <v>866</v>
      </c>
      <c r="B75" s="383">
        <f>HLOOKUP(型号,'辅助-模块单元解耦'!$K$2:$BJ$47,MATCH(数学建模!$A75,'辅助-模块单元解耦'!$A:$A,0)-1,FALSE)</f>
        <v>0</v>
      </c>
      <c r="C75" s="383">
        <f>HLOOKUP(型号,'辅助-模块单元解耦'!$K$2:$BJ$47,MATCH(数学建模!$A75,'辅助-模块单元解耦'!$A:$A,0)-1,FALSE)</f>
        <v>0</v>
      </c>
      <c r="D75" s="371" t="s">
        <v>537</v>
      </c>
      <c r="E75" s="372" t="s">
        <v>544</v>
      </c>
      <c r="F75" s="388" t="s">
        <v>904</v>
      </c>
      <c r="G75" s="389">
        <f ca="1">CEILING(20.193*(水泵流量*1000/3600)^0.5084/1000,0.05)</f>
        <v>0.45</v>
      </c>
      <c r="H75" s="390" t="s">
        <v>538</v>
      </c>
    </row>
    <row r="76" spans="1:11" ht="17">
      <c r="A76" s="382" t="s">
        <v>874</v>
      </c>
      <c r="B76" s="394">
        <f ca="1">ROUNDUP(308.05*(水泵流量*1000/3600)^0.2753/1000,1)</f>
        <v>1.6</v>
      </c>
      <c r="C76" s="394">
        <f ca="1">ROUNDUP(308.05*(水泵流量*1000/3600)^0.2753/1000,1)</f>
        <v>1.6</v>
      </c>
      <c r="D76" s="371" t="s">
        <v>537</v>
      </c>
      <c r="E76" s="357"/>
      <c r="F76" s="388" t="s">
        <v>905</v>
      </c>
      <c r="G76" s="389">
        <f ca="1">CEILING(308.05*(水泵流量*1000/3600)^0.2753/1000,0.05)</f>
        <v>1.6</v>
      </c>
      <c r="H76" s="390" t="s">
        <v>538</v>
      </c>
      <c r="I76" s="357"/>
      <c r="J76" s="356"/>
      <c r="K76" s="395"/>
    </row>
    <row r="77" spans="1:11" ht="17">
      <c r="A77" s="382" t="s">
        <v>548</v>
      </c>
      <c r="B77" s="383">
        <f>HLOOKUP(型号,'辅助-模块单元解耦'!$K$2:$BJ$47,MATCH(数学建模!$A77,'辅助-模块单元解耦'!$A:$A,0)-1,FALSE)</f>
        <v>0</v>
      </c>
      <c r="C77" s="383">
        <f>HLOOKUP(型号,'辅助-模块单元解耦'!$K$2:$BJ$47,MATCH(数学建模!$A77,'辅助-模块单元解耦'!$A:$A,0)-1,FALSE)</f>
        <v>0</v>
      </c>
      <c r="D77" s="371" t="s">
        <v>537</v>
      </c>
      <c r="E77" s="357"/>
      <c r="F77" s="388" t="s">
        <v>906</v>
      </c>
      <c r="G77" s="389">
        <f ca="1">CEILING(177.46*(水泵流量*1000/3600)^0.2734/1000,0.05)</f>
        <v>0.95000000000000007</v>
      </c>
      <c r="H77" s="390" t="s">
        <v>538</v>
      </c>
      <c r="I77" s="357"/>
      <c r="J77" s="356"/>
      <c r="K77" s="395"/>
    </row>
    <row r="78" spans="1:11" ht="17">
      <c r="A78" s="382" t="s">
        <v>549</v>
      </c>
      <c r="B78" s="383">
        <f>HLOOKUP(型号,'辅助-模块单元解耦'!$K$2:$BJ$47,MATCH(数学建模!$A78,'辅助-模块单元解耦'!$A:$A,0)-1,FALSE)</f>
        <v>0</v>
      </c>
      <c r="C78" s="383">
        <f>HLOOKUP(型号,'辅助-模块单元解耦'!$K$2:$BJ$47,MATCH(数学建模!$A78,'辅助-模块单元解耦'!$A:$A,0)-1,FALSE)</f>
        <v>0</v>
      </c>
      <c r="D78" s="371" t="s">
        <v>537</v>
      </c>
      <c r="E78" s="357"/>
      <c r="F78" s="388" t="s">
        <v>540</v>
      </c>
      <c r="G78" s="389" t="e">
        <f ca="1">ROUND(设计流量Q*总变化系数Kz/水泵备用数量/(缓冲区截面积+有效水深h2*单组总宽度C)/86400,3)</f>
        <v>#N/A</v>
      </c>
      <c r="H78" s="390" t="s">
        <v>541</v>
      </c>
      <c r="I78" s="569" t="s">
        <v>542</v>
      </c>
      <c r="J78" s="391"/>
      <c r="K78" s="392">
        <v>0.1</v>
      </c>
    </row>
    <row r="79" spans="1:11" ht="17">
      <c r="A79" s="382" t="s">
        <v>550</v>
      </c>
      <c r="B79" s="383">
        <f>HLOOKUP(型号,'辅助-模块单元解耦'!$K$2:$BJ$47,MATCH(数学建模!$A79,'辅助-模块单元解耦'!$A:$A,0)-1,FALSE)</f>
        <v>0</v>
      </c>
      <c r="C79" s="383">
        <f>HLOOKUP(型号,'辅助-模块单元解耦'!$K$2:$BJ$47,MATCH(数学建模!$A79,'辅助-模块单元解耦'!$A:$A,0)-1,FALSE)</f>
        <v>0</v>
      </c>
      <c r="D79" s="371" t="s">
        <v>537</v>
      </c>
      <c r="E79" s="371"/>
      <c r="F79" s="388" t="s">
        <v>543</v>
      </c>
      <c r="G79" s="389" t="e">
        <f>ROUND(设计流量Q/水泵备用数量/(缓冲区截面积+有效水深h2*单组总宽度C)/86400,3)</f>
        <v>#N/A</v>
      </c>
      <c r="H79" s="390" t="s">
        <v>541</v>
      </c>
      <c r="I79" s="570"/>
      <c r="J79" s="391"/>
      <c r="K79" s="392">
        <v>0.1</v>
      </c>
    </row>
    <row r="80" spans="1:11" ht="34">
      <c r="A80" s="382" t="s">
        <v>551</v>
      </c>
      <c r="B80" s="394">
        <f>旋流区宽B+浮渣区宽b2+隔墙厚b3</f>
        <v>0</v>
      </c>
      <c r="C80" s="394">
        <f>旋流区宽B+浮渣区宽b2+隔墙厚b3</f>
        <v>0</v>
      </c>
      <c r="D80" s="371" t="s">
        <v>538</v>
      </c>
      <c r="E80" s="371"/>
      <c r="F80" s="384" t="s">
        <v>545</v>
      </c>
      <c r="G80" s="389" t="e">
        <f ca="1">有效池长A/峰值流量水平流速v1/60</f>
        <v>#N/A</v>
      </c>
      <c r="H80" s="385" t="s">
        <v>546</v>
      </c>
      <c r="I80" s="357" t="s">
        <v>547</v>
      </c>
      <c r="J80" s="386">
        <v>5</v>
      </c>
      <c r="K80" s="387"/>
    </row>
    <row r="81" spans="1:11" ht="17">
      <c r="A81" s="382" t="s">
        <v>552</v>
      </c>
      <c r="B81" s="383">
        <f>HLOOKUP(型号,'辅助-模块单元解耦'!$K$2:$BJ$47,MATCH(数学建模!$A81,'辅助-模块单元解耦'!$A:$A,0)-1,FALSE)</f>
        <v>0</v>
      </c>
      <c r="C81" s="383">
        <f>HLOOKUP(型号,'辅助-模块单元解耦'!$K$2:$BJ$47,MATCH(数学建模!$A81,'辅助-模块单元解耦'!$A:$A,0)-1,FALSE)</f>
        <v>0</v>
      </c>
      <c r="D81" s="356" t="s">
        <v>537</v>
      </c>
      <c r="E81" s="357"/>
      <c r="F81" s="398"/>
      <c r="G81" s="389"/>
      <c r="H81" s="385"/>
      <c r="I81" s="372"/>
      <c r="J81" s="386"/>
      <c r="K81" s="387"/>
    </row>
    <row r="82" spans="1:11" ht="17">
      <c r="A82" s="382" t="s">
        <v>553</v>
      </c>
      <c r="B82" s="399">
        <f>单组总宽度C*水泵备用数量/水泵运行数量+壁厚</f>
        <v>0</v>
      </c>
      <c r="C82" s="399">
        <f>单组总宽度C*水泵备用数量/水泵运行数量+壁厚</f>
        <v>0</v>
      </c>
      <c r="D82" s="356" t="s">
        <v>537</v>
      </c>
      <c r="E82" s="372"/>
      <c r="F82" s="398"/>
      <c r="G82" s="396"/>
      <c r="H82" s="385"/>
      <c r="I82" s="385"/>
      <c r="J82" s="386"/>
      <c r="K82" s="387"/>
    </row>
    <row r="83" spans="1:11" ht="17">
      <c r="A83" s="353" t="s">
        <v>554</v>
      </c>
      <c r="B83" s="383" t="e">
        <f>HLOOKUP(型号,'辅助-模块单元解耦'!$K$2:$BJ$47,MATCH(数学建模!$A83,'辅助-模块单元解耦'!$A:$A,0)-1,FALSE)</f>
        <v>#N/A</v>
      </c>
      <c r="C83" s="383" t="e">
        <f>HLOOKUP(型号,'辅助-模块单元解耦'!$K$2:$BJ$47,MATCH(数学建模!$A83,'辅助-模块单元解耦'!$A:$A,0)-1,FALSE)</f>
        <v>#N/A</v>
      </c>
      <c r="D83" s="356" t="s">
        <v>538</v>
      </c>
      <c r="E83" s="357"/>
      <c r="F83" s="398"/>
      <c r="G83" s="396"/>
      <c r="H83" s="385"/>
      <c r="I83" s="385"/>
      <c r="J83" s="386"/>
      <c r="K83" s="387"/>
    </row>
    <row r="84" spans="1:11" ht="17">
      <c r="A84" s="382" t="s">
        <v>555</v>
      </c>
      <c r="B84" s="383" t="e">
        <f>HLOOKUP(型号,'辅助-模块单元解耦'!$K$2:$BJ$47,MATCH(数学建模!$A84,'辅助-模块单元解耦'!$A:$A,0)-1,FALSE)</f>
        <v>#N/A</v>
      </c>
      <c r="C84" s="383" t="e">
        <f>HLOOKUP(型号,'辅助-模块单元解耦'!$K$2:$BJ$47,MATCH(数学建模!$A84,'辅助-模块单元解耦'!$A:$A,0)-1,FALSE)</f>
        <v>#N/A</v>
      </c>
      <c r="D84" s="371" t="s">
        <v>537</v>
      </c>
      <c r="E84" s="372"/>
      <c r="F84" s="371"/>
      <c r="G84" s="371"/>
      <c r="H84" s="371"/>
      <c r="I84" s="372"/>
      <c r="J84" s="371"/>
      <c r="K84" s="378"/>
    </row>
    <row r="85" spans="1:11" ht="17">
      <c r="A85" s="382" t="s">
        <v>556</v>
      </c>
      <c r="B85" s="394" t="e">
        <f>有效池长A+出水渠长+壁厚</f>
        <v>#N/A</v>
      </c>
      <c r="C85" s="394" t="e">
        <f>有效池长A+出水渠长+壁厚</f>
        <v>#N/A</v>
      </c>
      <c r="D85" s="371" t="s">
        <v>537</v>
      </c>
      <c r="E85" s="372"/>
      <c r="F85" s="356"/>
      <c r="G85" s="356"/>
      <c r="H85" s="356"/>
      <c r="I85" s="357"/>
      <c r="J85" s="356"/>
      <c r="K85" s="395"/>
    </row>
    <row r="86" spans="1:11" ht="17">
      <c r="A86" s="353" t="s">
        <v>557</v>
      </c>
      <c r="B86" s="399" t="e">
        <f>有效池长A*(缓冲区截面积+有效水深h2*单组总宽度C)</f>
        <v>#N/A</v>
      </c>
      <c r="C86" s="399" t="e">
        <f>有效池长A*(缓冲区截面积+有效水深h2*单组总宽度C)</f>
        <v>#N/A</v>
      </c>
      <c r="D86" s="356" t="s">
        <v>558</v>
      </c>
      <c r="E86" s="357"/>
      <c r="F86" s="371"/>
      <c r="G86" s="371"/>
      <c r="H86" s="371"/>
      <c r="I86" s="357"/>
      <c r="J86" s="371"/>
      <c r="K86" s="378"/>
    </row>
    <row r="87" spans="1:11" ht="17">
      <c r="A87" s="400" t="s">
        <v>559</v>
      </c>
      <c r="B87" s="383" t="e">
        <f>HLOOKUP(型号,'辅助-模块单元解耦'!$K$2:$BJ$47,MATCH(数学建模!$A87,'辅助-模块单元解耦'!$A:$A,0)-1,FALSE)</f>
        <v>#N/A</v>
      </c>
      <c r="C87" s="383" t="e">
        <f>HLOOKUP(型号,'辅助-模块单元解耦'!$K$2:$BJ$47,MATCH(数学建模!$A87,'辅助-模块单元解耦'!$A:$A,0)-1,FALSE)</f>
        <v>#N/A</v>
      </c>
      <c r="D87" s="356" t="s">
        <v>538</v>
      </c>
      <c r="E87" s="357"/>
      <c r="F87" s="371"/>
      <c r="G87" s="371"/>
      <c r="H87" s="371"/>
      <c r="I87" s="372"/>
      <c r="J87" s="371"/>
      <c r="K87" s="378"/>
    </row>
    <row r="88" spans="1:11" ht="17">
      <c r="A88" s="400" t="s">
        <v>560</v>
      </c>
      <c r="B88" s="399" t="e">
        <f>有效水深h2-隔墙低于液位距离h6</f>
        <v>#N/A</v>
      </c>
      <c r="C88" s="399" t="e">
        <f>有效水深h2-隔墙低于液位距离h6</f>
        <v>#N/A</v>
      </c>
      <c r="D88" s="356" t="s">
        <v>538</v>
      </c>
      <c r="E88" s="357"/>
      <c r="F88" s="371"/>
      <c r="G88" s="371"/>
      <c r="H88" s="371"/>
      <c r="I88" s="372"/>
      <c r="J88" s="371"/>
      <c r="K88" s="378"/>
    </row>
    <row r="89" spans="1:11" ht="17">
      <c r="A89" s="400" t="s">
        <v>561</v>
      </c>
      <c r="B89" s="383">
        <f>HLOOKUP(型号,'辅助-模块单元解耦'!$K$2:$BJ$47,MATCH(数学建模!$A89,'辅助-模块单元解耦'!$A:$A,0)-1,FALSE)</f>
        <v>0</v>
      </c>
      <c r="C89" s="383">
        <f>HLOOKUP(型号,'辅助-模块单元解耦'!$K$2:$BJ$47,MATCH(数学建模!$A89,'辅助-模块单元解耦'!$A:$A,0)-1,FALSE)</f>
        <v>0</v>
      </c>
      <c r="D89" s="356" t="s">
        <v>538</v>
      </c>
      <c r="E89" s="357"/>
      <c r="F89" s="371"/>
      <c r="G89" s="371"/>
      <c r="H89" s="371"/>
      <c r="I89" s="372"/>
      <c r="J89" s="371"/>
      <c r="K89" s="378"/>
    </row>
    <row r="90" spans="1:11" ht="34">
      <c r="A90" s="400" t="s">
        <v>562</v>
      </c>
      <c r="B90" s="383">
        <v>0.25</v>
      </c>
      <c r="C90" s="383">
        <v>0.25</v>
      </c>
      <c r="D90" s="356" t="s">
        <v>538</v>
      </c>
      <c r="E90" s="357"/>
      <c r="F90" s="371"/>
      <c r="G90" s="371"/>
      <c r="H90" s="371"/>
      <c r="I90" s="372"/>
      <c r="J90" s="371"/>
      <c r="K90" s="378"/>
    </row>
    <row r="91" spans="1:11" ht="34">
      <c r="A91" s="400" t="s">
        <v>563</v>
      </c>
      <c r="B91" s="383">
        <v>1</v>
      </c>
      <c r="C91" s="383">
        <v>1</v>
      </c>
      <c r="D91" s="356" t="s">
        <v>538</v>
      </c>
      <c r="E91" s="357"/>
      <c r="F91" s="371"/>
      <c r="G91" s="371"/>
      <c r="H91" s="371"/>
      <c r="I91" s="372"/>
      <c r="J91" s="371"/>
      <c r="K91" s="378"/>
    </row>
    <row r="92" spans="1:11" ht="34">
      <c r="A92" s="400" t="s">
        <v>564</v>
      </c>
      <c r="B92" s="383">
        <v>0.2</v>
      </c>
      <c r="C92" s="383">
        <v>0.2</v>
      </c>
      <c r="D92" s="356" t="s">
        <v>538</v>
      </c>
      <c r="E92" s="357"/>
      <c r="F92" s="371"/>
      <c r="G92" s="371"/>
      <c r="H92" s="371"/>
      <c r="I92" s="372"/>
      <c r="J92" s="371"/>
      <c r="K92" s="378"/>
    </row>
    <row r="93" spans="1:11" ht="34">
      <c r="A93" s="400" t="s">
        <v>565</v>
      </c>
      <c r="B93" s="383">
        <v>0.8</v>
      </c>
      <c r="C93" s="383">
        <v>0.8</v>
      </c>
      <c r="D93" s="356" t="s">
        <v>538</v>
      </c>
      <c r="E93" s="357"/>
      <c r="F93" s="371"/>
      <c r="G93" s="371"/>
      <c r="H93" s="371"/>
      <c r="I93" s="372"/>
      <c r="J93" s="371"/>
      <c r="K93" s="378"/>
    </row>
    <row r="94" spans="1:11" ht="34">
      <c r="A94" s="400" t="s">
        <v>566</v>
      </c>
      <c r="B94" s="383">
        <v>0.2</v>
      </c>
      <c r="C94" s="383">
        <v>0.2</v>
      </c>
      <c r="D94" s="356" t="s">
        <v>538</v>
      </c>
      <c r="E94" s="357"/>
      <c r="F94" s="371"/>
      <c r="G94" s="371"/>
      <c r="H94" s="371"/>
      <c r="I94" s="372"/>
      <c r="J94" s="371"/>
      <c r="K94" s="378"/>
    </row>
    <row r="95" spans="1:11" ht="34">
      <c r="A95" s="400" t="s">
        <v>567</v>
      </c>
      <c r="B95" s="383">
        <v>0.6</v>
      </c>
      <c r="C95" s="383">
        <v>0.6</v>
      </c>
      <c r="D95" s="356" t="s">
        <v>538</v>
      </c>
      <c r="E95" s="357"/>
      <c r="F95" s="371"/>
      <c r="G95" s="371"/>
      <c r="H95" s="371"/>
      <c r="I95" s="372"/>
      <c r="J95" s="371"/>
      <c r="K95" s="378"/>
    </row>
    <row r="96" spans="1:11" ht="17">
      <c r="A96" s="400" t="s">
        <v>568</v>
      </c>
      <c r="B96" s="383">
        <v>1</v>
      </c>
      <c r="C96" s="383">
        <v>1</v>
      </c>
      <c r="D96" s="356" t="s">
        <v>538</v>
      </c>
      <c r="E96" s="357"/>
      <c r="F96" s="371"/>
      <c r="G96" s="371"/>
      <c r="H96" s="371"/>
      <c r="I96" s="372"/>
      <c r="J96" s="371"/>
      <c r="K96" s="378"/>
    </row>
    <row r="97" spans="1:11" ht="17">
      <c r="A97" s="400" t="s">
        <v>569</v>
      </c>
      <c r="B97" s="383">
        <v>1.5</v>
      </c>
      <c r="C97" s="383">
        <v>1.5</v>
      </c>
      <c r="D97" s="356" t="s">
        <v>538</v>
      </c>
      <c r="E97" s="357"/>
      <c r="F97" s="371"/>
      <c r="G97" s="371"/>
      <c r="H97" s="371"/>
      <c r="I97" s="372"/>
      <c r="J97" s="371"/>
      <c r="K97" s="378"/>
    </row>
    <row r="98" spans="1:11" ht="51">
      <c r="A98" s="400" t="s">
        <v>570</v>
      </c>
      <c r="B98" s="383">
        <v>0.3</v>
      </c>
      <c r="C98" s="383">
        <v>0.3</v>
      </c>
      <c r="D98" s="356" t="s">
        <v>538</v>
      </c>
      <c r="E98" s="357"/>
      <c r="F98" s="371"/>
      <c r="G98" s="371"/>
      <c r="H98" s="371"/>
      <c r="I98" s="372"/>
      <c r="J98" s="371"/>
      <c r="K98" s="378"/>
    </row>
    <row r="99" spans="1:11" ht="55.5" customHeight="1">
      <c r="A99" s="400" t="s">
        <v>571</v>
      </c>
      <c r="B99" s="383">
        <v>0.5</v>
      </c>
      <c r="C99" s="383">
        <v>0.5</v>
      </c>
      <c r="D99" s="356" t="s">
        <v>538</v>
      </c>
      <c r="E99" s="357"/>
      <c r="F99" s="371"/>
      <c r="G99" s="371"/>
      <c r="H99" s="371"/>
      <c r="I99" s="372"/>
      <c r="J99" s="371"/>
      <c r="K99" s="378"/>
    </row>
    <row r="100" spans="1:11" ht="34">
      <c r="A100" s="400" t="s">
        <v>572</v>
      </c>
      <c r="B100" s="383">
        <v>1.5</v>
      </c>
      <c r="C100" s="383">
        <v>1.5</v>
      </c>
      <c r="D100" s="356" t="s">
        <v>538</v>
      </c>
      <c r="E100" s="357"/>
      <c r="F100" s="371"/>
      <c r="G100" s="371"/>
      <c r="H100" s="371"/>
      <c r="I100" s="372"/>
      <c r="J100" s="371"/>
      <c r="K100" s="378"/>
    </row>
    <row r="101" spans="1:11" ht="34">
      <c r="A101" s="400" t="s">
        <v>573</v>
      </c>
      <c r="B101" s="399">
        <f ca="1">超高h1-0.05</f>
        <v>3.0746485596849666</v>
      </c>
      <c r="C101" s="399">
        <f ca="1">超高h1-0.05</f>
        <v>3.0746485596849666</v>
      </c>
      <c r="D101" s="356" t="s">
        <v>538</v>
      </c>
      <c r="E101" s="357"/>
      <c r="F101" s="371"/>
      <c r="G101" s="371"/>
      <c r="H101" s="371"/>
      <c r="I101" s="372"/>
      <c r="J101" s="371"/>
      <c r="K101" s="378"/>
    </row>
    <row r="102" spans="1:11" ht="17">
      <c r="A102" s="400" t="s">
        <v>574</v>
      </c>
      <c r="B102" s="383">
        <v>0.25</v>
      </c>
      <c r="C102" s="383">
        <v>0.25</v>
      </c>
      <c r="D102" s="356" t="s">
        <v>538</v>
      </c>
      <c r="E102" s="357"/>
      <c r="F102" s="371"/>
      <c r="G102" s="371"/>
      <c r="H102" s="371"/>
      <c r="I102" s="372"/>
      <c r="J102" s="371"/>
      <c r="K102" s="378"/>
    </row>
    <row r="103" spans="1:11" ht="17">
      <c r="A103" s="400" t="s">
        <v>575</v>
      </c>
      <c r="B103" s="383">
        <v>0.2</v>
      </c>
      <c r="C103" s="383">
        <v>0.2</v>
      </c>
      <c r="D103" s="356" t="s">
        <v>538</v>
      </c>
      <c r="E103" s="357"/>
      <c r="F103" s="371"/>
      <c r="G103" s="371"/>
      <c r="H103" s="371"/>
      <c r="I103" s="372"/>
      <c r="J103" s="371"/>
      <c r="K103" s="378"/>
    </row>
    <row r="104" spans="1:11" ht="17">
      <c r="A104" s="400" t="s">
        <v>576</v>
      </c>
      <c r="B104" s="383">
        <v>0.1</v>
      </c>
      <c r="C104" s="383">
        <v>0.1</v>
      </c>
      <c r="D104" s="356" t="s">
        <v>538</v>
      </c>
      <c r="E104" s="357"/>
      <c r="F104" s="371"/>
      <c r="G104" s="371"/>
      <c r="H104" s="371"/>
      <c r="I104" s="372"/>
      <c r="J104" s="371"/>
      <c r="K104" s="378"/>
    </row>
    <row r="105" spans="1:11" ht="34">
      <c r="A105" s="400" t="s">
        <v>577</v>
      </c>
      <c r="B105" s="383">
        <v>0.05</v>
      </c>
      <c r="C105" s="383">
        <v>0.05</v>
      </c>
      <c r="D105" s="356" t="s">
        <v>538</v>
      </c>
      <c r="E105" s="357"/>
      <c r="F105" s="371"/>
      <c r="G105" s="371"/>
      <c r="H105" s="371"/>
      <c r="I105" s="372"/>
      <c r="J105" s="371"/>
      <c r="K105" s="378"/>
    </row>
    <row r="106" spans="1:11" ht="34">
      <c r="A106" s="400" t="s">
        <v>578</v>
      </c>
      <c r="B106" s="383">
        <v>0.25</v>
      </c>
      <c r="C106" s="383">
        <v>0.25</v>
      </c>
      <c r="D106" s="356" t="s">
        <v>538</v>
      </c>
      <c r="E106" s="357"/>
      <c r="F106" s="371"/>
      <c r="G106" s="371"/>
      <c r="H106" s="371"/>
      <c r="I106" s="372"/>
      <c r="J106" s="371"/>
      <c r="K106" s="378"/>
    </row>
    <row r="107" spans="1:11" ht="34">
      <c r="A107" s="400" t="s">
        <v>579</v>
      </c>
      <c r="B107" s="383">
        <v>0.5</v>
      </c>
      <c r="C107" s="383">
        <v>0.5</v>
      </c>
      <c r="D107" s="356" t="s">
        <v>538</v>
      </c>
      <c r="E107" s="357"/>
      <c r="F107" s="371"/>
      <c r="G107" s="371"/>
      <c r="H107" s="371"/>
      <c r="I107" s="372"/>
      <c r="J107" s="371"/>
      <c r="K107" s="378"/>
    </row>
    <row r="108" spans="1:11" ht="34">
      <c r="A108" s="400" t="s">
        <v>580</v>
      </c>
      <c r="B108" s="383">
        <v>0.2</v>
      </c>
      <c r="C108" s="383">
        <v>0.2</v>
      </c>
      <c r="D108" s="356" t="s">
        <v>538</v>
      </c>
      <c r="E108" s="357"/>
      <c r="F108" s="371"/>
      <c r="G108" s="371"/>
      <c r="H108" s="371"/>
      <c r="I108" s="372"/>
      <c r="J108" s="371"/>
      <c r="K108" s="378"/>
    </row>
    <row r="109" spans="1:11" ht="17">
      <c r="A109" s="556" t="s">
        <v>581</v>
      </c>
      <c r="B109" s="556"/>
      <c r="C109" s="556"/>
      <c r="D109" s="556"/>
      <c r="E109" s="556"/>
      <c r="F109" s="556"/>
      <c r="G109" s="556"/>
      <c r="H109" s="556"/>
      <c r="I109" s="556"/>
      <c r="J109" s="556"/>
      <c r="K109" s="556"/>
    </row>
    <row r="110" spans="1:11" ht="18">
      <c r="A110" s="348" t="s">
        <v>519</v>
      </c>
      <c r="B110" s="349" t="s">
        <v>520</v>
      </c>
      <c r="C110" s="349"/>
      <c r="D110" s="349" t="s">
        <v>521</v>
      </c>
      <c r="E110" s="350" t="s">
        <v>522</v>
      </c>
      <c r="F110" s="349" t="s">
        <v>519</v>
      </c>
      <c r="G110" s="349" t="s">
        <v>520</v>
      </c>
      <c r="H110" s="349" t="s">
        <v>521</v>
      </c>
      <c r="I110" s="349" t="s">
        <v>522</v>
      </c>
      <c r="J110" s="379" t="s">
        <v>535</v>
      </c>
      <c r="K110" s="380" t="s">
        <v>536</v>
      </c>
    </row>
    <row r="111" spans="1:11" ht="17">
      <c r="A111" s="382" t="s">
        <v>582</v>
      </c>
      <c r="B111" s="383" t="e">
        <f>HLOOKUP(型号,'辅助-模块单元解耦'!$K$2:$BJ$47,MATCH(数学建模!$A111,'辅助-模块单元解耦'!$A:$A,0)-1,FALSE)</f>
        <v>#N/A</v>
      </c>
      <c r="C111" s="383" t="e">
        <f>HLOOKUP(型号,'辅助-模块单元解耦'!$K$2:$BJ$47,MATCH(数学建模!$A111,'辅助-模块单元解耦'!$A:$A,0)-1,FALSE)</f>
        <v>#N/A</v>
      </c>
      <c r="D111" s="371" t="s">
        <v>538</v>
      </c>
      <c r="E111" s="357"/>
      <c r="F111" s="400" t="s">
        <v>583</v>
      </c>
      <c r="G111" s="389" t="e">
        <f>集砂槽长*集砂槽截面积*水泵备用数量</f>
        <v>#N/A</v>
      </c>
      <c r="H111" s="356" t="s">
        <v>584</v>
      </c>
      <c r="I111" s="372" t="s">
        <v>585</v>
      </c>
      <c r="J111" s="401">
        <f ca="1">实际沉砂量</f>
        <v>4.05</v>
      </c>
      <c r="K111" s="402"/>
    </row>
    <row r="112" spans="1:11" ht="17">
      <c r="A112" s="353" t="s">
        <v>586</v>
      </c>
      <c r="B112" s="383">
        <f>HLOOKUP(型号,'辅助-模块单元解耦'!$K$2:$BJ$47,MATCH(数学建模!$A112,'辅助-模块单元解耦'!$A:$A,0)-1,FALSE)</f>
        <v>0</v>
      </c>
      <c r="C112" s="383">
        <f>HLOOKUP(型号,'辅助-模块单元解耦'!$K$2:$BJ$47,MATCH(数学建模!$A112,'辅助-模块单元解耦'!$A:$A,0)-1,FALSE)</f>
        <v>0</v>
      </c>
      <c r="D112" s="371" t="s">
        <v>538</v>
      </c>
      <c r="E112" s="356"/>
      <c r="F112" s="388"/>
      <c r="G112" s="403"/>
      <c r="H112" s="356"/>
      <c r="I112" s="390"/>
      <c r="J112" s="391"/>
      <c r="K112" s="392"/>
    </row>
    <row r="113" spans="1:11" ht="17">
      <c r="A113" s="353" t="s">
        <v>587</v>
      </c>
      <c r="B113" s="374" t="e">
        <f>(集砂槽底宽+集砂槽顶宽)*集砂槽高h4/2</f>
        <v>#N/A</v>
      </c>
      <c r="C113" s="374" t="e">
        <f>(集砂槽底宽+集砂槽顶宽)*集砂槽高h4/2</f>
        <v>#N/A</v>
      </c>
      <c r="D113" s="371" t="s">
        <v>588</v>
      </c>
      <c r="E113" s="356"/>
      <c r="F113" s="388"/>
      <c r="G113" s="389"/>
      <c r="H113" s="356"/>
      <c r="I113" s="390"/>
      <c r="J113" s="391"/>
      <c r="K113" s="392"/>
    </row>
    <row r="114" spans="1:11" ht="34">
      <c r="A114" s="404" t="s">
        <v>589</v>
      </c>
      <c r="B114" s="383">
        <f>HLOOKUP(型号,'辅助-模块单元解耦'!$K$2:$BJ$47,MATCH(数学建模!$A114,'辅助-模块单元解耦'!$A:$A,0)-1,FALSE)</f>
        <v>0</v>
      </c>
      <c r="C114" s="383">
        <f>HLOOKUP(型号,'辅助-模块单元解耦'!$K$2:$BJ$47,MATCH(数学建模!$A114,'辅助-模块单元解耦'!$A:$A,0)-1,FALSE)</f>
        <v>0</v>
      </c>
      <c r="D114" s="371" t="s">
        <v>538</v>
      </c>
      <c r="E114" s="356"/>
      <c r="F114" s="388"/>
      <c r="G114" s="389"/>
      <c r="H114" s="356"/>
      <c r="I114" s="390"/>
      <c r="J114" s="391"/>
      <c r="K114" s="392"/>
    </row>
    <row r="115" spans="1:11" ht="34">
      <c r="A115" s="404" t="s">
        <v>590</v>
      </c>
      <c r="B115" s="383">
        <f>HLOOKUP(型号,'辅助-模块单元解耦'!$K$2:$BJ$47,MATCH(数学建模!$A115,'辅助-模块单元解耦'!$A:$A,0)-1,FALSE)</f>
        <v>0</v>
      </c>
      <c r="C115" s="383">
        <f>HLOOKUP(型号,'辅助-模块单元解耦'!$K$2:$BJ$47,MATCH(数学建模!$A115,'辅助-模块单元解耦'!$A:$A,0)-1,FALSE)</f>
        <v>0</v>
      </c>
      <c r="D115" s="371" t="s">
        <v>537</v>
      </c>
      <c r="E115" s="356"/>
      <c r="F115" s="388"/>
      <c r="G115" s="389"/>
      <c r="H115" s="356"/>
      <c r="I115" s="390"/>
      <c r="J115" s="391"/>
      <c r="K115" s="392"/>
    </row>
    <row r="116" spans="1:11" ht="34">
      <c r="A116" s="353" t="s">
        <v>591</v>
      </c>
      <c r="B116" s="383">
        <f>HLOOKUP(型号,'辅助-模块单元解耦'!$K$2:$BJ$47,MATCH(数学建模!$A116,'辅助-模块单元解耦'!$A:$A,0)-1,FALSE)</f>
        <v>0</v>
      </c>
      <c r="C116" s="383">
        <f>HLOOKUP(型号,'辅助-模块单元解耦'!$K$2:$BJ$47,MATCH(数学建模!$A116,'辅助-模块单元解耦'!$A:$A,0)-1,FALSE)</f>
        <v>0</v>
      </c>
      <c r="D116" s="371" t="s">
        <v>537</v>
      </c>
      <c r="E116" s="356"/>
      <c r="F116" s="388"/>
      <c r="G116" s="389"/>
      <c r="H116" s="356"/>
      <c r="I116" s="390"/>
      <c r="J116" s="391"/>
      <c r="K116" s="392"/>
    </row>
    <row r="117" spans="1:11" ht="34">
      <c r="A117" s="353" t="s">
        <v>592</v>
      </c>
      <c r="B117" s="405" t="e">
        <f>旋流区宽B-集砂槽底宽-砂斗壁斜坡_短边_底距离斗底方槽近侧距离F</f>
        <v>#N/A</v>
      </c>
      <c r="C117" s="405" t="e">
        <f>旋流区宽B-集砂槽底宽-砂斗壁斜坡_短边_底距离斗底方槽近侧距离F</f>
        <v>#N/A</v>
      </c>
      <c r="D117" s="371" t="s">
        <v>537</v>
      </c>
      <c r="E117" s="356"/>
      <c r="F117" s="388"/>
      <c r="G117" s="389"/>
      <c r="H117" s="356"/>
      <c r="I117" s="390"/>
      <c r="J117" s="391"/>
      <c r="K117" s="392"/>
    </row>
    <row r="118" spans="1:11" ht="17">
      <c r="A118" s="353" t="s">
        <v>593</v>
      </c>
      <c r="B118" s="374" t="e">
        <f>有效池长A-进水侧长边方向泥斗水平投影尺寸R-出水侧长边方向泥斗水平投影尺寸S</f>
        <v>#N/A</v>
      </c>
      <c r="C118" s="374" t="e">
        <f>有效池长A-进水侧长边方向泥斗水平投影尺寸R-出水侧长边方向泥斗水平投影尺寸S</f>
        <v>#N/A</v>
      </c>
      <c r="D118" s="371" t="s">
        <v>538</v>
      </c>
      <c r="E118" s="356"/>
      <c r="F118" s="388"/>
      <c r="G118" s="389"/>
      <c r="H118" s="356"/>
      <c r="I118" s="390"/>
      <c r="J118" s="391"/>
      <c r="K118" s="392"/>
    </row>
    <row r="119" spans="1:11" ht="17">
      <c r="A119" s="555" t="s">
        <v>594</v>
      </c>
      <c r="B119" s="556"/>
      <c r="C119" s="556"/>
      <c r="D119" s="556"/>
      <c r="E119" s="556"/>
      <c r="F119" s="556"/>
      <c r="G119" s="556"/>
      <c r="H119" s="556"/>
      <c r="I119" s="556"/>
      <c r="J119" s="556"/>
      <c r="K119" s="557"/>
    </row>
    <row r="120" spans="1:11" ht="18">
      <c r="A120" s="348" t="s">
        <v>519</v>
      </c>
      <c r="B120" s="349" t="s">
        <v>520</v>
      </c>
      <c r="C120" s="349"/>
      <c r="D120" s="349" t="s">
        <v>521</v>
      </c>
      <c r="E120" s="350" t="s">
        <v>522</v>
      </c>
      <c r="F120" s="349" t="s">
        <v>519</v>
      </c>
      <c r="G120" s="349" t="s">
        <v>520</v>
      </c>
      <c r="H120" s="349" t="s">
        <v>521</v>
      </c>
      <c r="I120" s="349" t="s">
        <v>522</v>
      </c>
      <c r="J120" s="379" t="s">
        <v>535</v>
      </c>
      <c r="K120" s="380" t="s">
        <v>536</v>
      </c>
    </row>
    <row r="121" spans="1:11" ht="17">
      <c r="A121" s="353" t="s">
        <v>595</v>
      </c>
      <c r="B121" s="399">
        <f>集砂槽顶宽</f>
        <v>0</v>
      </c>
      <c r="C121" s="399">
        <f>集砂槽顶宽</f>
        <v>0</v>
      </c>
      <c r="D121" s="356" t="s">
        <v>538</v>
      </c>
      <c r="E121" s="357"/>
      <c r="F121" s="400"/>
      <c r="G121" s="389"/>
      <c r="H121" s="356"/>
      <c r="I121" s="406"/>
      <c r="J121" s="407"/>
      <c r="K121" s="392"/>
    </row>
    <row r="122" spans="1:11" ht="17">
      <c r="A122" s="353" t="s">
        <v>596</v>
      </c>
      <c r="B122" s="399">
        <f>旋流区宽B</f>
        <v>0</v>
      </c>
      <c r="C122" s="399">
        <f>旋流区宽B</f>
        <v>0</v>
      </c>
      <c r="D122" s="356" t="s">
        <v>538</v>
      </c>
      <c r="E122" s="357"/>
      <c r="F122" s="400"/>
      <c r="G122" s="389"/>
      <c r="H122" s="356"/>
      <c r="I122" s="406"/>
      <c r="J122" s="407"/>
      <c r="K122" s="392"/>
    </row>
    <row r="123" spans="1:11" ht="34">
      <c r="A123" s="353" t="s">
        <v>597</v>
      </c>
      <c r="B123" s="399" t="e">
        <f>ATAN((缓冲区高h3+TAN(斗壁斜边_长边_与邻近池内壁夹角_池宽方向_α3*PI()/180)*(浮渣区宽b2+隔墙厚b3))/(进水侧长边方向泥斗水平投影尺寸R))/(PI()/180)</f>
        <v>#N/A</v>
      </c>
      <c r="C123" s="399" t="e">
        <f>ATAN((缓冲区高h3+TAN(斗壁斜边_长边_与邻近池内壁夹角_池宽方向_α3*PI()/180)*(浮渣区宽b2+隔墙厚b3))/(进水侧长边方向泥斗水平投影尺寸R))/(PI()/180)</f>
        <v>#N/A</v>
      </c>
      <c r="D123" s="362" t="s">
        <v>598</v>
      </c>
      <c r="E123" s="372"/>
      <c r="F123" s="408"/>
      <c r="G123" s="356"/>
      <c r="H123" s="389"/>
      <c r="I123" s="372"/>
      <c r="J123" s="408"/>
      <c r="K123" s="395"/>
    </row>
    <row r="124" spans="1:11" ht="34">
      <c r="A124" s="353" t="s">
        <v>599</v>
      </c>
      <c r="B124" s="399" t="e">
        <f>ATAN((缓冲区高h3+TAN(斗壁斜边_长边_与邻近池内壁夹角_池宽方向_α3*PI()/180)*(浮渣区宽b2+隔墙厚b3))/(出水侧长边方向泥斗水平投影尺寸S))/(PI()/180)</f>
        <v>#N/A</v>
      </c>
      <c r="C124" s="399" t="e">
        <f>ATAN((缓冲区高h3+TAN(斗壁斜边_长边_与邻近池内壁夹角_池宽方向_α3*PI()/180)*(浮渣区宽b2+隔墙厚b3))/(出水侧长边方向泥斗水平投影尺寸S))/(PI()/180)</f>
        <v>#N/A</v>
      </c>
      <c r="D124" s="409" t="s">
        <v>598</v>
      </c>
      <c r="E124" s="372"/>
      <c r="I124" s="372"/>
      <c r="K124" s="358"/>
    </row>
    <row r="125" spans="1:11" ht="51">
      <c r="A125" s="353" t="s">
        <v>600</v>
      </c>
      <c r="B125" s="399" t="e">
        <f>ATAN(缓冲区高h3/砂斗壁斜坡_长边_底距栅区内隔墙外侧距离D)/(PI()/180)</f>
        <v>#N/A</v>
      </c>
      <c r="C125" s="399" t="e">
        <f>ATAN(缓冲区高h3/砂斗壁斜坡_长边_底距栅区内隔墙外侧距离D)/(PI()/180)</f>
        <v>#N/A</v>
      </c>
      <c r="D125" s="411" t="s">
        <v>598</v>
      </c>
      <c r="E125" s="357"/>
      <c r="F125" s="356"/>
      <c r="G125" s="356"/>
      <c r="H125" s="389"/>
      <c r="I125" s="357"/>
      <c r="J125" s="356"/>
      <c r="K125" s="395"/>
    </row>
    <row r="126" spans="1:11" ht="51">
      <c r="A126" s="353" t="s">
        <v>601</v>
      </c>
      <c r="B126" s="412" t="e">
        <f>ATAN(缓冲区高h3/砂斗壁斜坡_短边_底距离斗底方槽近侧距离F)/(PI()/180)</f>
        <v>#DIV/0!</v>
      </c>
      <c r="C126" s="412" t="e">
        <f>ATAN(缓冲区高h3/砂斗壁斜坡_短边_底距离斗底方槽近侧距离F)/(PI()/180)</f>
        <v>#DIV/0!</v>
      </c>
      <c r="D126" s="362" t="s">
        <v>598</v>
      </c>
      <c r="E126" s="357"/>
      <c r="F126" s="356"/>
      <c r="G126" s="356"/>
      <c r="H126" s="389"/>
      <c r="I126" s="357"/>
      <c r="J126" s="356"/>
      <c r="K126" s="395"/>
    </row>
    <row r="127" spans="1:11" ht="17">
      <c r="A127" s="353" t="s">
        <v>602</v>
      </c>
      <c r="B127" s="399">
        <f>(缓冲区顶宽+缓冲区底宽)*缓冲区高h3/2</f>
        <v>0</v>
      </c>
      <c r="C127" s="399">
        <f>(缓冲区顶宽+缓冲区底宽)*缓冲区高h3/2</f>
        <v>0</v>
      </c>
      <c r="D127" s="356" t="s">
        <v>588</v>
      </c>
      <c r="E127" s="372"/>
      <c r="I127" s="372"/>
      <c r="K127" s="358"/>
    </row>
    <row r="128" spans="1:11" ht="17">
      <c r="A128" s="353" t="s">
        <v>603</v>
      </c>
      <c r="B128" s="399" t="e">
        <f>缓冲区截面积*有效池长A</f>
        <v>#N/A</v>
      </c>
      <c r="C128" s="399" t="e">
        <f>缓冲区截面积*有效池长A</f>
        <v>#N/A</v>
      </c>
      <c r="D128" s="356" t="s">
        <v>584</v>
      </c>
      <c r="E128" s="357"/>
      <c r="F128" s="400"/>
      <c r="G128" s="389"/>
      <c r="H128" s="356"/>
      <c r="I128" s="406"/>
      <c r="J128" s="407"/>
      <c r="K128" s="392"/>
    </row>
    <row r="129" spans="1:11" ht="17">
      <c r="A129" s="555" t="s">
        <v>604</v>
      </c>
      <c r="B129" s="556"/>
      <c r="C129" s="556"/>
      <c r="D129" s="556"/>
      <c r="E129" s="556"/>
      <c r="F129" s="556"/>
      <c r="G129" s="556"/>
      <c r="H129" s="556"/>
      <c r="I129" s="556"/>
      <c r="J129" s="556"/>
      <c r="K129" s="557"/>
    </row>
    <row r="130" spans="1:11" ht="18">
      <c r="A130" s="348" t="s">
        <v>519</v>
      </c>
      <c r="B130" s="349" t="s">
        <v>520</v>
      </c>
      <c r="C130" s="349"/>
      <c r="D130" s="349" t="s">
        <v>521</v>
      </c>
      <c r="E130" s="350" t="s">
        <v>522</v>
      </c>
      <c r="F130" s="349" t="s">
        <v>519</v>
      </c>
      <c r="G130" s="349" t="s">
        <v>520</v>
      </c>
      <c r="H130" s="349" t="s">
        <v>521</v>
      </c>
      <c r="I130" s="349" t="s">
        <v>522</v>
      </c>
      <c r="J130" s="379" t="s">
        <v>535</v>
      </c>
      <c r="K130" s="380" t="s">
        <v>536</v>
      </c>
    </row>
    <row r="131" spans="1:11" ht="51">
      <c r="A131" s="382" t="s">
        <v>605</v>
      </c>
      <c r="B131" s="383">
        <v>0.03</v>
      </c>
      <c r="C131" s="383">
        <v>0.03</v>
      </c>
      <c r="D131" s="371" t="s">
        <v>606</v>
      </c>
      <c r="E131" s="372" t="s">
        <v>607</v>
      </c>
      <c r="F131" s="398"/>
      <c r="G131" s="396"/>
      <c r="H131" s="371"/>
      <c r="I131" s="413"/>
      <c r="J131" s="397"/>
      <c r="K131" s="387"/>
    </row>
    <row r="132" spans="1:11" ht="17">
      <c r="A132" s="382" t="s">
        <v>608</v>
      </c>
      <c r="B132" s="376">
        <v>1</v>
      </c>
      <c r="C132" s="376">
        <v>1</v>
      </c>
      <c r="D132" s="371" t="s">
        <v>609</v>
      </c>
      <c r="E132" s="372"/>
      <c r="F132" s="398"/>
      <c r="G132" s="396"/>
      <c r="H132" s="371"/>
      <c r="I132" s="413"/>
      <c r="J132" s="397"/>
      <c r="K132" s="387"/>
    </row>
    <row r="133" spans="1:11" ht="17">
      <c r="A133" s="353" t="s">
        <v>610</v>
      </c>
      <c r="B133" s="399">
        <f ca="1">设计流量Q*总变化系数Kz*污水沉砂量*排砂周期/1000</f>
        <v>4.05</v>
      </c>
      <c r="C133" s="399">
        <f ca="1">设计流量Q*总变化系数Kz*污水沉砂量*排砂周期/1000</f>
        <v>4.05</v>
      </c>
      <c r="D133" s="356" t="s">
        <v>584</v>
      </c>
      <c r="E133" s="357"/>
      <c r="F133" s="400"/>
      <c r="G133" s="389"/>
      <c r="H133" s="356"/>
      <c r="I133" s="406"/>
      <c r="J133" s="407"/>
      <c r="K133" s="392"/>
    </row>
    <row r="134" spans="1:11" ht="17">
      <c r="A134" s="353" t="s">
        <v>611</v>
      </c>
      <c r="B134" s="383">
        <v>4</v>
      </c>
      <c r="C134" s="383">
        <v>4</v>
      </c>
      <c r="D134" s="356" t="s">
        <v>93</v>
      </c>
      <c r="E134" s="357"/>
      <c r="F134" s="400"/>
      <c r="G134" s="389"/>
      <c r="H134" s="356"/>
      <c r="I134" s="406"/>
      <c r="J134" s="407"/>
      <c r="K134" s="392"/>
    </row>
    <row r="135" spans="1:11" ht="34">
      <c r="A135" s="353" t="s">
        <v>612</v>
      </c>
      <c r="B135" s="399">
        <f ca="1">实际沉砂量*1000/排砂时间/3600</f>
        <v>0.28125</v>
      </c>
      <c r="C135" s="399">
        <f ca="1">实际沉砂量*1000/排砂时间/3600</f>
        <v>0.28125</v>
      </c>
      <c r="D135" s="356" t="s">
        <v>526</v>
      </c>
      <c r="E135" s="357" t="s">
        <v>613</v>
      </c>
      <c r="F135" s="400"/>
      <c r="G135" s="389"/>
      <c r="H135" s="356"/>
      <c r="I135" s="406"/>
      <c r="J135" s="407"/>
      <c r="K135" s="392"/>
    </row>
    <row r="136" spans="1:11" ht="17">
      <c r="A136" s="555" t="s">
        <v>614</v>
      </c>
      <c r="B136" s="556"/>
      <c r="C136" s="556"/>
      <c r="D136" s="556"/>
      <c r="E136" s="556"/>
      <c r="F136" s="556"/>
      <c r="G136" s="556"/>
      <c r="H136" s="556"/>
      <c r="I136" s="556"/>
      <c r="J136" s="556"/>
      <c r="K136" s="557"/>
    </row>
    <row r="137" spans="1:11" ht="18">
      <c r="A137" s="348" t="s">
        <v>519</v>
      </c>
      <c r="B137" s="349" t="s">
        <v>520</v>
      </c>
      <c r="C137" s="349"/>
      <c r="D137" s="349" t="s">
        <v>521</v>
      </c>
      <c r="E137" s="350" t="s">
        <v>522</v>
      </c>
      <c r="F137" s="349" t="s">
        <v>519</v>
      </c>
      <c r="G137" s="349" t="s">
        <v>520</v>
      </c>
      <c r="H137" s="349" t="s">
        <v>521</v>
      </c>
      <c r="I137" s="349" t="s">
        <v>522</v>
      </c>
      <c r="J137" s="379" t="s">
        <v>535</v>
      </c>
      <c r="K137" s="380" t="s">
        <v>536</v>
      </c>
    </row>
    <row r="138" spans="1:11" ht="85">
      <c r="A138" s="353" t="s">
        <v>615</v>
      </c>
      <c r="B138" s="383">
        <v>5</v>
      </c>
      <c r="C138" s="383">
        <v>5</v>
      </c>
      <c r="D138" s="356" t="s">
        <v>616</v>
      </c>
      <c r="E138" s="357" t="s">
        <v>617</v>
      </c>
      <c r="F138" s="400" t="s">
        <v>618</v>
      </c>
      <c r="G138" s="362" t="e">
        <f>有效水深h2+缓冲区高h3-空气扩散装置浸没水深h8</f>
        <v>#N/A</v>
      </c>
      <c r="H138" s="356" t="s">
        <v>538</v>
      </c>
      <c r="I138" s="357" t="s">
        <v>619</v>
      </c>
      <c r="J138" s="407">
        <v>0.45</v>
      </c>
      <c r="K138" s="392">
        <v>0.9</v>
      </c>
    </row>
    <row r="139" spans="1:11" ht="17">
      <c r="A139" s="353" t="s">
        <v>620</v>
      </c>
      <c r="B139" s="399" t="e">
        <f>单延米曝气量*60/1000*有效池长A</f>
        <v>#N/A</v>
      </c>
      <c r="C139" s="399" t="e">
        <f>单延米曝气量*60/1000*有效池长A</f>
        <v>#N/A</v>
      </c>
      <c r="D139" s="356" t="s">
        <v>621</v>
      </c>
      <c r="E139" s="357"/>
      <c r="F139" s="400"/>
      <c r="G139" s="389"/>
      <c r="H139" s="356"/>
      <c r="I139" s="406"/>
      <c r="J139" s="407"/>
      <c r="K139" s="392"/>
    </row>
    <row r="140" spans="1:11" ht="34">
      <c r="A140" s="353" t="s">
        <v>622</v>
      </c>
      <c r="B140" s="383" t="e">
        <f>HLOOKUP(型号,'辅助-模块单元解耦'!$K$2:$BJ$47,MATCH(数学建模!$A140,'辅助-模块单元解耦'!$A:$A,0)-1,FALSE)</f>
        <v>#N/A</v>
      </c>
      <c r="C140" s="383" t="e">
        <f>HLOOKUP(型号,'辅助-模块单元解耦'!$K$2:$BJ$47,MATCH(数学建模!$A140,'辅助-模块单元解耦'!$A:$A,0)-1,FALSE)</f>
        <v>#N/A</v>
      </c>
      <c r="D140" s="347" t="s">
        <v>538</v>
      </c>
      <c r="E140" s="369"/>
      <c r="F140" s="400"/>
      <c r="G140" s="389"/>
      <c r="H140" s="356"/>
      <c r="I140" s="406"/>
      <c r="J140" s="407"/>
      <c r="K140" s="392"/>
    </row>
    <row r="141" spans="1:11" ht="34">
      <c r="A141" s="353" t="s">
        <v>623</v>
      </c>
      <c r="B141" s="399" t="e">
        <f>有效水深h2+空气扩散装置距离有效水深以下高度</f>
        <v>#N/A</v>
      </c>
      <c r="C141" s="399" t="e">
        <f>有效水深h2+空气扩散装置距离有效水深以下高度</f>
        <v>#N/A</v>
      </c>
      <c r="D141" s="356" t="s">
        <v>538</v>
      </c>
      <c r="E141" s="357"/>
      <c r="F141" s="400"/>
      <c r="G141" s="389"/>
      <c r="H141" s="356"/>
      <c r="I141" s="406"/>
      <c r="J141" s="407"/>
      <c r="K141" s="392"/>
    </row>
    <row r="142" spans="1:11" ht="17">
      <c r="A142" s="353" t="s">
        <v>624</v>
      </c>
      <c r="B142" s="399" t="e">
        <f>单组供气量*水泵备用数量</f>
        <v>#N/A</v>
      </c>
      <c r="C142" s="399" t="e">
        <f>单组供气量*水泵备用数量</f>
        <v>#N/A</v>
      </c>
      <c r="D142" s="356" t="s">
        <v>621</v>
      </c>
      <c r="E142" s="357"/>
      <c r="F142" s="400"/>
      <c r="G142" s="389"/>
      <c r="H142" s="356"/>
      <c r="I142" s="406"/>
      <c r="J142" s="407"/>
      <c r="K142" s="392"/>
    </row>
    <row r="143" spans="1:11" ht="17">
      <c r="A143" s="353" t="s">
        <v>625</v>
      </c>
      <c r="B143" s="399" t="e">
        <f>总供气量*24*60/设计流量Q</f>
        <v>#N/A</v>
      </c>
      <c r="C143" s="399" t="e">
        <f>总供气量*24*60/设计流量Q</f>
        <v>#N/A</v>
      </c>
      <c r="D143" s="356"/>
      <c r="E143" s="357"/>
      <c r="F143" s="400"/>
      <c r="G143" s="389"/>
      <c r="H143" s="356"/>
      <c r="I143" s="406"/>
      <c r="J143" s="407"/>
      <c r="K143" s="392"/>
    </row>
    <row r="144" spans="1:11" ht="17">
      <c r="A144" s="555" t="s">
        <v>626</v>
      </c>
      <c r="B144" s="556"/>
      <c r="C144" s="556"/>
      <c r="D144" s="556"/>
      <c r="E144" s="556"/>
      <c r="F144" s="556"/>
      <c r="G144" s="556"/>
      <c r="H144" s="556"/>
      <c r="I144" s="556"/>
      <c r="J144" s="556"/>
      <c r="K144" s="557"/>
    </row>
    <row r="145" spans="1:11" ht="18">
      <c r="A145" s="348" t="s">
        <v>519</v>
      </c>
      <c r="B145" s="349" t="s">
        <v>520</v>
      </c>
      <c r="C145" s="349"/>
      <c r="D145" s="349" t="s">
        <v>521</v>
      </c>
      <c r="E145" s="350" t="s">
        <v>522</v>
      </c>
      <c r="F145" s="349" t="s">
        <v>519</v>
      </c>
      <c r="G145" s="349" t="s">
        <v>520</v>
      </c>
      <c r="H145" s="349" t="s">
        <v>521</v>
      </c>
      <c r="I145" s="349" t="s">
        <v>522</v>
      </c>
      <c r="J145" s="379" t="s">
        <v>535</v>
      </c>
      <c r="K145" s="380" t="s">
        <v>536</v>
      </c>
    </row>
    <row r="146" spans="1:11" ht="17">
      <c r="A146" s="353" t="s">
        <v>880</v>
      </c>
      <c r="B146" s="376">
        <f>HLOOKUP(型号,'辅助-模块单元解耦'!$K$2:$BJ$47,MATCH(数学建模!$A146,'辅助-模块单元解耦'!$A:$A,0)-1,FALSE)</f>
        <v>3</v>
      </c>
      <c r="C146" s="376">
        <f>HLOOKUP(型号,'辅助-模块单元解耦'!$K$2:$BJ$47,MATCH(数学建模!$A146,'辅助-模块单元解耦'!$A:$A,0)-1,FALSE)</f>
        <v>3</v>
      </c>
      <c r="D146" s="356" t="s">
        <v>882</v>
      </c>
      <c r="E146" s="545"/>
      <c r="F146" s="544"/>
      <c r="G146" s="544"/>
      <c r="H146" s="544"/>
      <c r="I146" s="544"/>
      <c r="J146" s="546"/>
      <c r="K146" s="547"/>
    </row>
    <row r="147" spans="1:11" ht="18" thickBot="1">
      <c r="A147" s="414" t="s">
        <v>883</v>
      </c>
      <c r="B147" s="415">
        <v>0.37</v>
      </c>
      <c r="C147" s="415">
        <v>0.37</v>
      </c>
      <c r="D147" s="416" t="s">
        <v>627</v>
      </c>
      <c r="E147" s="417"/>
      <c r="F147" s="418"/>
      <c r="G147" s="418"/>
      <c r="H147" s="418"/>
      <c r="I147" s="419"/>
      <c r="J147" s="420"/>
      <c r="K147" s="421"/>
    </row>
    <row r="148" spans="1:11" ht="18" thickTop="1">
      <c r="A148" s="382" t="s">
        <v>628</v>
      </c>
      <c r="B148" s="376" t="e">
        <f>HLOOKUP(型号,'辅助-模块单元解耦'!$K$2:$BJ$47,MATCH(数学建模!$A148,'辅助-模块单元解耦'!$A:$A,0)-1,FALSE)</f>
        <v>#N/A</v>
      </c>
      <c r="C148" s="376" t="e">
        <f>HLOOKUP(型号,'辅助-模块单元解耦'!$K$2:$BJ$47,MATCH(数学建模!$A148,'辅助-模块单元解耦'!$A:$A,0)-1,FALSE)</f>
        <v>#N/A</v>
      </c>
      <c r="D148" s="371" t="s">
        <v>629</v>
      </c>
      <c r="E148" s="372"/>
      <c r="F148" s="398"/>
      <c r="G148" s="396"/>
      <c r="H148" s="371"/>
      <c r="I148" s="413"/>
      <c r="J148" s="397"/>
      <c r="K148" s="387"/>
    </row>
    <row r="149" spans="1:11" ht="17">
      <c r="A149" s="353" t="s">
        <v>630</v>
      </c>
      <c r="B149" s="376" t="e">
        <f>HLOOKUP(型号,'辅助-模块单元解耦'!$K$2:$BJ$47,MATCH(数学建模!$A149,'辅助-模块单元解耦'!$A:$A,0)-1,FALSE)</f>
        <v>#N/A</v>
      </c>
      <c r="C149" s="376" t="e">
        <f>HLOOKUP(型号,'辅助-模块单元解耦'!$K$2:$BJ$47,MATCH(数学建模!$A149,'辅助-模块单元解耦'!$A:$A,0)-1,FALSE)</f>
        <v>#N/A</v>
      </c>
      <c r="D149" s="356" t="s">
        <v>629</v>
      </c>
      <c r="E149" s="357"/>
      <c r="F149" s="400"/>
      <c r="G149" s="389"/>
      <c r="H149" s="356"/>
      <c r="I149" s="406"/>
      <c r="J149" s="407"/>
      <c r="K149" s="392"/>
    </row>
    <row r="150" spans="1:11" ht="17">
      <c r="A150" s="353" t="s">
        <v>631</v>
      </c>
      <c r="B150" s="399" t="e">
        <f>总供气量/曝气风机工作数量</f>
        <v>#N/A</v>
      </c>
      <c r="C150" s="399" t="e">
        <f>总供气量/曝气风机工作数量</f>
        <v>#N/A</v>
      </c>
      <c r="D150" s="356" t="s">
        <v>632</v>
      </c>
      <c r="E150" s="357"/>
      <c r="F150" s="400"/>
      <c r="G150" s="389"/>
      <c r="H150" s="356"/>
      <c r="I150" s="406"/>
      <c r="J150" s="407"/>
      <c r="K150" s="392"/>
    </row>
    <row r="151" spans="1:11" ht="17">
      <c r="A151" s="353" t="s">
        <v>633</v>
      </c>
      <c r="B151" s="383">
        <v>0.5</v>
      </c>
      <c r="C151" s="383">
        <v>0.5</v>
      </c>
      <c r="D151" s="356" t="s">
        <v>538</v>
      </c>
      <c r="E151" s="357"/>
      <c r="F151" s="400"/>
      <c r="G151" s="389"/>
      <c r="H151" s="356"/>
      <c r="I151" s="406"/>
      <c r="J151" s="407"/>
      <c r="K151" s="392"/>
    </row>
    <row r="152" spans="1:11" ht="17">
      <c r="A152" s="353" t="s">
        <v>634</v>
      </c>
      <c r="B152" s="399" t="e">
        <f>空气扩散装置浸没水深h8+管路损失</f>
        <v>#N/A</v>
      </c>
      <c r="C152" s="399" t="e">
        <f>空气扩散装置浸没水深h8+管路损失</f>
        <v>#N/A</v>
      </c>
      <c r="D152" s="356" t="s">
        <v>27</v>
      </c>
      <c r="E152" s="357"/>
      <c r="F152" s="400"/>
      <c r="G152" s="389"/>
      <c r="H152" s="356"/>
      <c r="I152" s="406"/>
      <c r="J152" s="407"/>
      <c r="K152" s="392"/>
    </row>
    <row r="153" spans="1:11" ht="17">
      <c r="A153" s="422" t="s">
        <v>635</v>
      </c>
      <c r="B153" s="423">
        <v>0.6</v>
      </c>
      <c r="C153" s="423">
        <v>0.6</v>
      </c>
      <c r="D153" s="366"/>
      <c r="E153" s="367"/>
      <c r="F153" s="424"/>
      <c r="G153" s="425"/>
      <c r="H153" s="366"/>
      <c r="I153" s="426"/>
      <c r="J153" s="427"/>
      <c r="K153" s="428"/>
    </row>
    <row r="154" spans="1:11" ht="17">
      <c r="A154" s="422" t="s">
        <v>636</v>
      </c>
      <c r="B154" s="429">
        <v>0.8</v>
      </c>
      <c r="C154" s="429">
        <v>0.8</v>
      </c>
      <c r="D154" s="366"/>
      <c r="E154" s="367"/>
      <c r="F154" s="424"/>
      <c r="G154" s="425"/>
      <c r="H154" s="366"/>
      <c r="I154" s="426"/>
      <c r="J154" s="427"/>
      <c r="K154" s="428"/>
    </row>
    <row r="155" spans="1:11" ht="18" thickBot="1">
      <c r="A155" s="414" t="s">
        <v>637</v>
      </c>
      <c r="B155" s="430" t="e">
        <f ca="1">OFFSET('辅助-输出功率'!$A$1,MATCH(ROUNDUP(单台风机需要风量*设计压力*1000/60/102/风机效率/传动装置效率,0),'辅助-输出功率'!$A$2:$A$56,1)+1,0,1,1)</f>
        <v>#N/A</v>
      </c>
      <c r="C155" s="430" t="e">
        <f ca="1">OFFSET('辅助-输出功率'!$A$1,MATCH(ROUNDUP(单台风机需要风量*设计压力*1000/60/102/风机效率,0),'辅助-输出功率'!$A$2:$A$56,1)+1,0,1,1)</f>
        <v>#N/A</v>
      </c>
      <c r="D155" s="416" t="s">
        <v>627</v>
      </c>
      <c r="E155" s="431"/>
      <c r="F155" s="432"/>
      <c r="G155" s="433"/>
      <c r="H155" s="416"/>
      <c r="I155" s="419"/>
      <c r="J155" s="434"/>
      <c r="K155" s="435"/>
    </row>
    <row r="156" spans="1:11" ht="18" thickTop="1">
      <c r="A156" s="422" t="s">
        <v>638</v>
      </c>
      <c r="B156" s="383">
        <f>HLOOKUP(型号,'辅助-模块单元解耦'!$K$2:$BJ$47,MATCH(数学建模!$A156,'辅助-模块单元解耦'!$A:$A,0)-1,FALSE)</f>
        <v>0</v>
      </c>
      <c r="C156" s="383">
        <f>HLOOKUP(型号,'辅助-模块单元解耦'!$K$2:$BJ$47,MATCH(数学建模!$A156,'辅助-模块单元解耦'!$A:$A,0)-1,FALSE)</f>
        <v>0</v>
      </c>
      <c r="D156" s="366" t="s">
        <v>632</v>
      </c>
      <c r="E156" s="367"/>
      <c r="F156" s="424"/>
      <c r="G156" s="425"/>
      <c r="H156" s="366"/>
      <c r="I156" s="426"/>
      <c r="J156" s="427"/>
      <c r="K156" s="428"/>
    </row>
    <row r="157" spans="1:11" ht="17">
      <c r="A157" s="422" t="s">
        <v>639</v>
      </c>
      <c r="B157" s="383">
        <f>HLOOKUP(型号,'辅助-模块单元解耦'!$K$2:$BJ$47,MATCH(数学建模!$A157,'辅助-模块单元解耦'!$A:$A,0)-1,FALSE)</f>
        <v>0</v>
      </c>
      <c r="C157" s="383">
        <f>HLOOKUP(型号,'辅助-模块单元解耦'!$K$2:$BJ$47,MATCH(数学建模!$A157,'辅助-模块单元解耦'!$A:$A,0)-1,FALSE)</f>
        <v>0</v>
      </c>
      <c r="D157" s="366" t="s">
        <v>640</v>
      </c>
      <c r="E157" s="367"/>
      <c r="F157" s="424"/>
      <c r="G157" s="425"/>
      <c r="H157" s="366"/>
      <c r="I157" s="426"/>
      <c r="J157" s="427"/>
      <c r="K157" s="428"/>
    </row>
    <row r="158" spans="1:11" ht="18" thickBot="1">
      <c r="A158" s="414" t="s">
        <v>641</v>
      </c>
      <c r="B158" s="415">
        <f>HLOOKUP(型号,'辅助-模块单元解耦'!$K$2:$BJ$47,MATCH(数学建模!$A158,'辅助-模块单元解耦'!$A:$A,0)-1,FALSE)</f>
        <v>0</v>
      </c>
      <c r="C158" s="415">
        <f>HLOOKUP(型号,'辅助-模块单元解耦'!$K$2:$BJ$47,MATCH(数学建模!$A158,'辅助-模块单元解耦'!$A:$A,0)-1,FALSE)</f>
        <v>0</v>
      </c>
      <c r="D158" s="416" t="s">
        <v>25</v>
      </c>
      <c r="E158" s="431"/>
      <c r="F158" s="432"/>
      <c r="G158" s="433"/>
      <c r="H158" s="416"/>
      <c r="I158" s="419"/>
      <c r="J158" s="434"/>
      <c r="K158" s="435"/>
    </row>
    <row r="159" spans="1:11" ht="35" thickTop="1">
      <c r="A159" s="359" t="s">
        <v>642</v>
      </c>
      <c r="B159" s="383">
        <v>12</v>
      </c>
      <c r="C159" s="383">
        <v>12</v>
      </c>
      <c r="D159" s="347" t="s">
        <v>643</v>
      </c>
      <c r="E159" s="369"/>
      <c r="F159" s="404"/>
      <c r="G159" s="410"/>
      <c r="H159" s="347"/>
      <c r="I159" s="436"/>
      <c r="J159" s="437"/>
      <c r="K159" s="438"/>
    </row>
    <row r="160" spans="1:11" ht="34">
      <c r="A160" s="422" t="s">
        <v>644</v>
      </c>
      <c r="B160" s="383">
        <v>20</v>
      </c>
      <c r="C160" s="383">
        <v>20</v>
      </c>
      <c r="D160" s="366" t="s">
        <v>643</v>
      </c>
      <c r="E160" s="367"/>
      <c r="F160" s="424"/>
      <c r="G160" s="425"/>
      <c r="H160" s="366"/>
      <c r="I160" s="426"/>
      <c r="J160" s="427"/>
      <c r="K160" s="428"/>
    </row>
    <row r="161" spans="1:11" ht="17">
      <c r="A161" s="422" t="s">
        <v>645</v>
      </c>
      <c r="B161" s="376">
        <v>320</v>
      </c>
      <c r="C161" s="376">
        <v>320</v>
      </c>
      <c r="D161" s="366" t="s">
        <v>646</v>
      </c>
      <c r="E161" s="367"/>
      <c r="F161" s="424"/>
      <c r="G161" s="425"/>
      <c r="H161" s="366"/>
      <c r="I161" s="426"/>
      <c r="J161" s="427"/>
      <c r="K161" s="428"/>
    </row>
    <row r="162" spans="1:11" ht="17">
      <c r="A162" s="422" t="s">
        <v>647</v>
      </c>
      <c r="B162" s="376">
        <v>5</v>
      </c>
      <c r="C162" s="376">
        <v>5</v>
      </c>
      <c r="D162" s="366" t="s">
        <v>648</v>
      </c>
      <c r="E162" s="367"/>
      <c r="F162" s="424"/>
      <c r="G162" s="425"/>
      <c r="H162" s="366"/>
      <c r="I162" s="426"/>
      <c r="J162" s="427"/>
      <c r="K162" s="428"/>
    </row>
    <row r="163" spans="1:11" ht="17">
      <c r="A163" s="422" t="s">
        <v>649</v>
      </c>
      <c r="B163" s="383">
        <v>0.37</v>
      </c>
      <c r="C163" s="383">
        <v>0.37</v>
      </c>
      <c r="D163" s="366" t="s">
        <v>650</v>
      </c>
      <c r="E163" s="367"/>
      <c r="F163" s="424"/>
      <c r="G163" s="425"/>
      <c r="H163" s="366"/>
      <c r="I163" s="426"/>
      <c r="J163" s="427"/>
      <c r="K163" s="428"/>
    </row>
    <row r="164" spans="1:11" ht="17">
      <c r="A164" s="422" t="s">
        <v>651</v>
      </c>
      <c r="B164" s="383">
        <v>2.06</v>
      </c>
      <c r="C164" s="383">
        <v>2.06</v>
      </c>
      <c r="D164" s="366" t="s">
        <v>537</v>
      </c>
      <c r="E164" s="367"/>
      <c r="F164" s="424"/>
      <c r="G164" s="425"/>
      <c r="H164" s="366"/>
      <c r="I164" s="426"/>
      <c r="J164" s="427"/>
      <c r="K164" s="428"/>
    </row>
    <row r="165" spans="1:11" ht="17">
      <c r="A165" s="353" t="s">
        <v>652</v>
      </c>
      <c r="B165" s="376">
        <f>HLOOKUP(型号,'辅助-模块单元解耦'!$K$2:$BJ$47,MATCH(数学建模!$A165,'辅助-模块单元解耦'!$A:$A,0)-1,FALSE)</f>
        <v>0</v>
      </c>
      <c r="C165" s="376">
        <f>HLOOKUP(型号,'辅助-模块单元解耦'!$K$2:$BJ$47,MATCH(数学建模!$A165,'辅助-模块单元解耦'!$A:$A,0)-1,FALSE)</f>
        <v>0</v>
      </c>
      <c r="D165" s="356" t="s">
        <v>653</v>
      </c>
      <c r="E165" s="357"/>
      <c r="F165" s="400"/>
      <c r="G165" s="389"/>
      <c r="H165" s="356"/>
      <c r="I165" s="406"/>
      <c r="J165" s="407"/>
      <c r="K165" s="392"/>
    </row>
    <row r="166" spans="1:11" ht="18" thickBot="1">
      <c r="A166" s="414" t="s">
        <v>654</v>
      </c>
      <c r="B166" s="439">
        <f>HLOOKUP(型号,'辅助-模块单元解耦'!$K$2:$BJ$47,MATCH(数学建模!$A166,'辅助-模块单元解耦'!$A:$A,0)-1,FALSE)</f>
        <v>0</v>
      </c>
      <c r="C166" s="439">
        <f>HLOOKUP(型号,'辅助-模块单元解耦'!$K$2:$BJ$47,MATCH(数学建模!$A166,'辅助-模块单元解耦'!$A:$A,0)-1,FALSE)</f>
        <v>0</v>
      </c>
      <c r="D166" s="416" t="s">
        <v>653</v>
      </c>
      <c r="E166" s="431"/>
      <c r="F166" s="432"/>
      <c r="G166" s="433"/>
      <c r="H166" s="416"/>
      <c r="I166" s="419"/>
      <c r="J166" s="434"/>
      <c r="K166" s="435"/>
    </row>
    <row r="167" spans="1:11" ht="18" thickTop="1">
      <c r="A167" s="440" t="s">
        <v>655</v>
      </c>
      <c r="B167" s="441">
        <f>HLOOKUP(型号,'辅助-模块单元解耦'!$K$2:$BJ$47,MATCH(数学建模!$A167,'辅助-模块单元解耦'!$A:$A,0)-1,FALSE)</f>
        <v>0</v>
      </c>
      <c r="C167" s="441">
        <f>HLOOKUP(型号,'辅助-模块单元解耦'!$K$2:$BJ$47,MATCH(数学建模!$A167,'辅助-模块单元解耦'!$A:$A,0)-1,FALSE)</f>
        <v>0</v>
      </c>
      <c r="D167" s="442" t="s">
        <v>537</v>
      </c>
      <c r="E167" s="443"/>
      <c r="F167" s="444" t="s">
        <v>656</v>
      </c>
      <c r="G167" s="445" t="e">
        <f ca="1">设计流量Q*总变化系数Kz/水泵备用数量/进水闸门宽/闸后进水渠道内水深h10/86400</f>
        <v>#DIV/0!</v>
      </c>
      <c r="H167" s="442" t="s">
        <v>657</v>
      </c>
      <c r="I167" s="446"/>
      <c r="J167" s="447"/>
      <c r="K167" s="448"/>
    </row>
    <row r="168" spans="1:11" ht="17">
      <c r="A168" s="353" t="s">
        <v>658</v>
      </c>
      <c r="B168" s="449">
        <f>HLOOKUP(型号,'辅助-模块单元解耦'!$K$2:$BJ$47,MATCH(数学建模!$A168,'辅助-模块单元解耦'!$A:$A,0)-1,FALSE)</f>
        <v>0</v>
      </c>
      <c r="C168" s="449">
        <f>HLOOKUP(型号,'辅助-模块单元解耦'!$K$2:$BJ$47,MATCH(数学建模!$A168,'辅助-模块单元解耦'!$A:$A,0)-1,FALSE)</f>
        <v>0</v>
      </c>
      <c r="D168" s="356" t="s">
        <v>537</v>
      </c>
      <c r="E168" s="357"/>
      <c r="F168" s="400"/>
      <c r="G168" s="389"/>
      <c r="H168" s="356"/>
      <c r="I168" s="406"/>
      <c r="J168" s="407"/>
      <c r="K168" s="392"/>
    </row>
    <row r="169" spans="1:11" ht="17">
      <c r="A169" s="353" t="s">
        <v>659</v>
      </c>
      <c r="B169" s="449">
        <v>0.2</v>
      </c>
      <c r="C169" s="449">
        <v>0.2</v>
      </c>
      <c r="D169" s="356" t="s">
        <v>537</v>
      </c>
      <c r="E169" s="357"/>
      <c r="F169" s="400"/>
      <c r="G169" s="389"/>
      <c r="H169" s="356"/>
      <c r="I169" s="406"/>
      <c r="J169" s="407"/>
      <c r="K169" s="392"/>
    </row>
    <row r="170" spans="1:11" ht="17">
      <c r="A170" s="353" t="s">
        <v>660</v>
      </c>
      <c r="B170" s="450">
        <f>闸后进水渠道内水深h10+门体超高</f>
        <v>0.2</v>
      </c>
      <c r="C170" s="450">
        <f>闸后进水渠道内水深h10+门体超高</f>
        <v>0.2</v>
      </c>
      <c r="D170" s="356" t="s">
        <v>537</v>
      </c>
      <c r="E170" s="357"/>
      <c r="F170" s="400"/>
      <c r="G170" s="389"/>
      <c r="H170" s="356"/>
      <c r="I170" s="406"/>
      <c r="J170" s="407"/>
      <c r="K170" s="392"/>
    </row>
    <row r="171" spans="1:11" ht="18" thickBot="1">
      <c r="A171" s="414" t="s">
        <v>661</v>
      </c>
      <c r="B171" s="439">
        <v>50</v>
      </c>
      <c r="C171" s="439">
        <v>50</v>
      </c>
      <c r="D171" s="416" t="s">
        <v>662</v>
      </c>
      <c r="E171" s="431"/>
      <c r="F171" s="432"/>
      <c r="G171" s="433"/>
      <c r="H171" s="416"/>
      <c r="I171" s="419"/>
      <c r="J171" s="434"/>
      <c r="K171" s="435"/>
    </row>
    <row r="172" spans="1:11" ht="18" thickTop="1">
      <c r="A172" s="382" t="s">
        <v>663</v>
      </c>
      <c r="B172" s="451">
        <v>0.5</v>
      </c>
      <c r="C172" s="451">
        <v>0.5</v>
      </c>
      <c r="D172" s="371" t="s">
        <v>558</v>
      </c>
      <c r="E172" s="372"/>
      <c r="F172" s="398"/>
      <c r="G172" s="396"/>
      <c r="H172" s="371"/>
      <c r="I172" s="413"/>
      <c r="J172" s="397"/>
      <c r="K172" s="387"/>
    </row>
    <row r="173" spans="1:11" ht="17">
      <c r="A173" s="555" t="s">
        <v>664</v>
      </c>
      <c r="B173" s="556"/>
      <c r="C173" s="556"/>
      <c r="D173" s="556"/>
      <c r="E173" s="556"/>
      <c r="F173" s="556"/>
      <c r="G173" s="556"/>
      <c r="H173" s="556"/>
      <c r="I173" s="556"/>
      <c r="J173" s="556"/>
      <c r="K173" s="557"/>
    </row>
    <row r="174" spans="1:11" ht="18">
      <c r="A174" s="348" t="s">
        <v>519</v>
      </c>
      <c r="B174" s="349" t="s">
        <v>520</v>
      </c>
      <c r="C174" s="349"/>
      <c r="D174" s="349" t="s">
        <v>521</v>
      </c>
      <c r="E174" s="350" t="s">
        <v>522</v>
      </c>
      <c r="F174" s="349" t="s">
        <v>519</v>
      </c>
      <c r="G174" s="349" t="s">
        <v>520</v>
      </c>
      <c r="H174" s="349" t="s">
        <v>521</v>
      </c>
      <c r="I174" s="349" t="s">
        <v>522</v>
      </c>
      <c r="J174" s="379" t="s">
        <v>535</v>
      </c>
      <c r="K174" s="380" t="s">
        <v>536</v>
      </c>
    </row>
    <row r="175" spans="1:11" ht="52" thickBot="1">
      <c r="A175" s="452" t="s">
        <v>879</v>
      </c>
      <c r="B175" s="439">
        <f>HLOOKUP(型号,'辅助-模块单元解耦'!$K$2:$BJ$47,MATCH(数学建模!$A175,'辅助-模块单元解耦'!$A:$A,0)-1,FALSE)</f>
        <v>700</v>
      </c>
      <c r="C175" s="439">
        <f>HLOOKUP(型号,'辅助-模块单元解耦'!$K$2:$BJ$47,MATCH(数学建模!$A175,'辅助-模块单元解耦'!$A:$A,0)-1,FALSE)</f>
        <v>700</v>
      </c>
      <c r="D175" s="453" t="s">
        <v>666</v>
      </c>
      <c r="E175" s="453"/>
      <c r="F175" s="384" t="s">
        <v>899</v>
      </c>
      <c r="G175" s="396" t="e">
        <f>4*出水管流量/((水泵出水管管径/1000)^2*PI()*86400)</f>
        <v>#REF!</v>
      </c>
      <c r="H175" s="371" t="s">
        <v>541</v>
      </c>
      <c r="I175" s="372" t="s">
        <v>898</v>
      </c>
      <c r="J175" s="386">
        <v>0.8</v>
      </c>
      <c r="K175" s="387">
        <v>2.5</v>
      </c>
    </row>
    <row r="176" spans="1:11" ht="18" thickTop="1" thickBot="1">
      <c r="F176" s="454"/>
      <c r="G176" s="455"/>
      <c r="H176" s="453"/>
      <c r="I176" s="456"/>
      <c r="J176" s="457"/>
      <c r="K176" s="458"/>
    </row>
    <row r="177" spans="1:11" ht="18" thickTop="1">
      <c r="A177" s="440" t="s">
        <v>667</v>
      </c>
      <c r="B177" s="459">
        <f>HLOOKUP(型号,'辅助-模块单元解耦'!$K$2:$BJ$47,MATCH(数学建模!$A177,'辅助-模块单元解耦'!$A:$A,0)-1,FALSE)</f>
        <v>0</v>
      </c>
      <c r="C177" s="459">
        <f>HLOOKUP(型号,'辅助-模块单元解耦'!$K$2:$BJ$47,MATCH(数学建模!$A177,'辅助-模块单元解耦'!$A:$A,0)-1,FALSE)</f>
        <v>0</v>
      </c>
      <c r="D177" s="442" t="s">
        <v>666</v>
      </c>
      <c r="E177" s="442"/>
      <c r="F177" s="460"/>
      <c r="G177" s="445"/>
      <c r="H177" s="442"/>
      <c r="I177" s="443"/>
      <c r="J177" s="461"/>
      <c r="K177" s="448"/>
    </row>
    <row r="178" spans="1:11" ht="17">
      <c r="A178" s="353" t="s">
        <v>668</v>
      </c>
      <c r="B178" s="462">
        <v>10</v>
      </c>
      <c r="C178" s="462">
        <v>10</v>
      </c>
      <c r="D178" s="356" t="s">
        <v>669</v>
      </c>
      <c r="E178" s="357"/>
      <c r="F178" s="400"/>
      <c r="G178" s="389"/>
      <c r="H178" s="356"/>
      <c r="I178" s="357"/>
      <c r="J178" s="407"/>
      <c r="K178" s="392"/>
    </row>
    <row r="179" spans="1:11" ht="18" thickBot="1">
      <c r="A179" s="359" t="s">
        <v>670</v>
      </c>
      <c r="B179" s="463">
        <v>4</v>
      </c>
      <c r="C179" s="463">
        <v>4</v>
      </c>
      <c r="D179" s="347" t="s">
        <v>671</v>
      </c>
      <c r="E179" s="431"/>
      <c r="F179" s="404"/>
      <c r="G179" s="410"/>
      <c r="H179" s="347"/>
      <c r="I179" s="369"/>
      <c r="J179" s="437"/>
      <c r="K179" s="438"/>
    </row>
    <row r="180" spans="1:11" ht="18" thickTop="1">
      <c r="A180" s="440" t="s">
        <v>672</v>
      </c>
      <c r="B180" s="459">
        <f>HLOOKUP(型号,'辅助-模块单元解耦'!$K$2:$BJ$47,MATCH(数学建模!$A180,'辅助-模块单元解耦'!$A:$A,0)-1,FALSE)</f>
        <v>0</v>
      </c>
      <c r="C180" s="459">
        <f>HLOOKUP(型号,'辅助-模块单元解耦'!$K$2:$BJ$47,MATCH(数学建模!$A180,'辅助-模块单元解耦'!$A:$A,0)-1,FALSE)</f>
        <v>0</v>
      </c>
      <c r="D180" s="442" t="s">
        <v>666</v>
      </c>
      <c r="E180" s="443"/>
      <c r="F180" s="442"/>
      <c r="G180" s="442"/>
      <c r="H180" s="445"/>
      <c r="I180" s="443"/>
      <c r="J180" s="447"/>
      <c r="K180" s="448"/>
    </row>
    <row r="181" spans="1:11" ht="17">
      <c r="A181" s="353" t="s">
        <v>673</v>
      </c>
      <c r="B181" s="462">
        <v>10</v>
      </c>
      <c r="C181" s="462">
        <v>10</v>
      </c>
      <c r="D181" s="356" t="s">
        <v>669</v>
      </c>
      <c r="E181" s="357"/>
      <c r="F181" s="408"/>
      <c r="G181" s="356"/>
      <c r="H181" s="389"/>
      <c r="I181" s="357"/>
      <c r="J181" s="407"/>
      <c r="K181" s="392"/>
    </row>
    <row r="182" spans="1:11" ht="18" thickBot="1">
      <c r="A182" s="414" t="s">
        <v>674</v>
      </c>
      <c r="B182" s="439">
        <v>1</v>
      </c>
      <c r="C182" s="439">
        <v>1</v>
      </c>
      <c r="D182" s="416" t="s">
        <v>671</v>
      </c>
      <c r="E182" s="431"/>
      <c r="F182" s="416"/>
      <c r="G182" s="416"/>
      <c r="H182" s="433"/>
      <c r="I182" s="431"/>
      <c r="J182" s="434"/>
      <c r="K182" s="435"/>
    </row>
    <row r="183" spans="1:11" ht="18" thickTop="1">
      <c r="A183" s="382" t="s">
        <v>675</v>
      </c>
      <c r="B183" s="376">
        <f>HLOOKUP(型号,'辅助-模块单元解耦'!$K$2:$BJ$47,MATCH(数学建模!$A183,'辅助-模块单元解耦'!$A:$A,0)-1,FALSE)</f>
        <v>0</v>
      </c>
      <c r="C183" s="376">
        <f>HLOOKUP(型号,'辅助-模块单元解耦'!$K$2:$BJ$47,MATCH(数学建模!$A183,'辅助-模块单元解耦'!$A:$A,0)-1,FALSE)</f>
        <v>0</v>
      </c>
      <c r="D183" s="371" t="s">
        <v>676</v>
      </c>
      <c r="E183" s="372"/>
      <c r="F183" s="398" t="s">
        <v>677</v>
      </c>
      <c r="G183" s="396" t="e">
        <f>(单池容积*水泵备用数量)/(PI()*(放空管管径d4/1000)^2/4)/放空时间/3600</f>
        <v>#N/A</v>
      </c>
      <c r="H183" s="371" t="s">
        <v>541</v>
      </c>
      <c r="I183" s="372" t="s">
        <v>665</v>
      </c>
      <c r="J183" s="397">
        <v>0.6</v>
      </c>
      <c r="K183" s="387"/>
    </row>
    <row r="184" spans="1:11" ht="17">
      <c r="A184" s="353" t="s">
        <v>678</v>
      </c>
      <c r="B184" s="462">
        <f>HLOOKUP(型号,'辅助-模块单元解耦'!$K$2:$BJ$47,MATCH(数学建模!$A184,'辅助-模块单元解耦'!$A:$A,0)-1,FALSE)</f>
        <v>0</v>
      </c>
      <c r="C184" s="462">
        <f>HLOOKUP(型号,'辅助-模块单元解耦'!$K$2:$BJ$47,MATCH(数学建模!$A184,'辅助-模块单元解耦'!$A:$A,0)-1,FALSE)</f>
        <v>0</v>
      </c>
      <c r="D184" s="356" t="s">
        <v>666</v>
      </c>
      <c r="E184" s="357"/>
      <c r="F184" s="356"/>
      <c r="G184" s="356"/>
      <c r="H184" s="389"/>
      <c r="I184" s="357"/>
      <c r="J184" s="407"/>
      <c r="K184" s="392"/>
    </row>
    <row r="185" spans="1:11" ht="17">
      <c r="A185" s="353" t="s">
        <v>679</v>
      </c>
      <c r="B185" s="462">
        <v>10</v>
      </c>
      <c r="C185" s="462">
        <v>10</v>
      </c>
      <c r="D185" s="356" t="s">
        <v>669</v>
      </c>
      <c r="E185" s="357"/>
      <c r="F185" s="356"/>
      <c r="G185" s="356"/>
      <c r="H185" s="389"/>
      <c r="I185" s="357"/>
      <c r="J185" s="407"/>
      <c r="K185" s="392"/>
    </row>
    <row r="186" spans="1:11" ht="18" thickBot="1">
      <c r="A186" s="452" t="s">
        <v>680</v>
      </c>
      <c r="B186" s="464">
        <v>3</v>
      </c>
      <c r="C186" s="464">
        <v>3</v>
      </c>
      <c r="D186" s="453" t="s">
        <v>671</v>
      </c>
      <c r="E186" s="456"/>
      <c r="F186" s="453"/>
      <c r="I186" s="369"/>
      <c r="J186" s="437"/>
      <c r="K186" s="438"/>
    </row>
    <row r="187" spans="1:11" ht="52" thickTop="1">
      <c r="A187" s="382" t="s">
        <v>681</v>
      </c>
      <c r="B187" s="376">
        <f>HLOOKUP(型号,'辅助-模块单元解耦'!$K$2:$BJ$47,MATCH(数学建模!$A187,'辅助-模块单元解耦'!$A:$A,0)-1,FALSE)</f>
        <v>0</v>
      </c>
      <c r="C187" s="376">
        <f>HLOOKUP(型号,'辅助-模块单元解耦'!$K$2:$BJ$47,MATCH(数学建模!$A187,'辅助-模块单元解耦'!$A:$A,0)-1,FALSE)</f>
        <v>0</v>
      </c>
      <c r="D187" s="371" t="s">
        <v>666</v>
      </c>
      <c r="E187" s="372"/>
      <c r="F187" s="398" t="s">
        <v>682</v>
      </c>
      <c r="G187" s="445" t="e">
        <f>4*总供气量/((曝气干管管径d5/1000)^2*PI()*60)</f>
        <v>#N/A</v>
      </c>
      <c r="H187" s="445" t="s">
        <v>541</v>
      </c>
      <c r="I187" s="443" t="s">
        <v>683</v>
      </c>
      <c r="J187" s="447">
        <v>10</v>
      </c>
      <c r="K187" s="448">
        <v>15</v>
      </c>
    </row>
    <row r="188" spans="1:11" ht="17">
      <c r="A188" s="382" t="s">
        <v>684</v>
      </c>
      <c r="B188" s="376">
        <v>30</v>
      </c>
      <c r="C188" s="376">
        <v>30</v>
      </c>
      <c r="D188" s="356" t="s">
        <v>685</v>
      </c>
      <c r="E188" s="372"/>
      <c r="F188" s="398"/>
      <c r="G188" s="396"/>
      <c r="H188" s="396"/>
      <c r="I188" s="372"/>
      <c r="J188" s="397"/>
      <c r="K188" s="387"/>
    </row>
    <row r="189" spans="1:11" ht="18" thickBot="1">
      <c r="A189" s="414" t="s">
        <v>686</v>
      </c>
      <c r="B189" s="439">
        <v>4</v>
      </c>
      <c r="C189" s="439">
        <v>4</v>
      </c>
      <c r="D189" s="416" t="s">
        <v>671</v>
      </c>
      <c r="E189" s="431"/>
      <c r="F189" s="432"/>
      <c r="G189" s="433"/>
      <c r="H189" s="433"/>
      <c r="I189" s="431"/>
      <c r="J189" s="434"/>
      <c r="K189" s="435"/>
    </row>
    <row r="190" spans="1:11" ht="18" thickTop="1">
      <c r="A190" s="382" t="s">
        <v>687</v>
      </c>
      <c r="B190" s="376">
        <f>HLOOKUP(型号,'辅助-模块单元解耦'!$K$2:$BJ$47,MATCH(数学建模!$A190,'辅助-模块单元解耦'!$A:$A,0)-1,FALSE)</f>
        <v>0</v>
      </c>
      <c r="C190" s="376">
        <f>HLOOKUP(型号,'辅助-模块单元解耦'!$K$2:$BJ$47,MATCH(数学建模!$A190,'辅助-模块单元解耦'!$A:$A,0)-1,FALSE)</f>
        <v>0</v>
      </c>
      <c r="D190" s="371" t="s">
        <v>666</v>
      </c>
      <c r="E190" s="372"/>
      <c r="F190" s="398"/>
      <c r="G190" s="396"/>
      <c r="H190" s="396"/>
      <c r="I190" s="372"/>
      <c r="J190" s="397"/>
      <c r="K190" s="387"/>
    </row>
    <row r="191" spans="1:11" ht="17">
      <c r="A191" s="382" t="s">
        <v>688</v>
      </c>
      <c r="B191" s="376">
        <v>2</v>
      </c>
      <c r="C191" s="376">
        <v>2</v>
      </c>
      <c r="D191" s="356" t="s">
        <v>538</v>
      </c>
      <c r="E191" s="357"/>
      <c r="F191" s="400"/>
      <c r="G191" s="389"/>
      <c r="H191" s="389"/>
      <c r="I191" s="357"/>
      <c r="J191" s="407"/>
      <c r="K191" s="392"/>
    </row>
    <row r="192" spans="1:11" ht="17">
      <c r="A192" s="382" t="s">
        <v>689</v>
      </c>
      <c r="B192" s="371" t="e">
        <f>ROUNDUP(有效池长A/曝气支管设置间距,0)</f>
        <v>#N/A</v>
      </c>
      <c r="C192" s="371" t="e">
        <f>ROUNDUP(有效池长A/曝气支管设置间距,0)</f>
        <v>#N/A</v>
      </c>
      <c r="D192" s="356" t="s">
        <v>690</v>
      </c>
      <c r="E192" s="357"/>
      <c r="F192" s="400"/>
      <c r="G192" s="389"/>
      <c r="H192" s="389"/>
      <c r="I192" s="357"/>
      <c r="J192" s="407"/>
      <c r="K192" s="392"/>
    </row>
    <row r="193" spans="1:11" ht="17">
      <c r="A193" s="382" t="s">
        <v>691</v>
      </c>
      <c r="B193" s="465">
        <v>0.5</v>
      </c>
      <c r="C193" s="465">
        <v>0.5</v>
      </c>
      <c r="D193" s="356" t="s">
        <v>692</v>
      </c>
      <c r="E193" s="357"/>
      <c r="F193" s="400"/>
      <c r="G193" s="389"/>
      <c r="H193" s="389"/>
      <c r="I193" s="357"/>
      <c r="J193" s="407"/>
      <c r="K193" s="392"/>
    </row>
    <row r="194" spans="1:11" ht="34">
      <c r="A194" s="382" t="s">
        <v>693</v>
      </c>
      <c r="B194" s="376">
        <v>4</v>
      </c>
      <c r="C194" s="376">
        <v>4</v>
      </c>
      <c r="D194" s="356" t="s">
        <v>692</v>
      </c>
      <c r="E194" s="357"/>
      <c r="F194" s="400"/>
      <c r="G194" s="389"/>
      <c r="H194" s="389"/>
      <c r="I194" s="357"/>
      <c r="J194" s="407"/>
      <c r="K194" s="392"/>
    </row>
    <row r="195" spans="1:11" ht="17">
      <c r="A195" s="382" t="s">
        <v>694</v>
      </c>
      <c r="B195" s="383">
        <v>1.8</v>
      </c>
      <c r="C195" s="383">
        <v>1.8</v>
      </c>
      <c r="D195" s="356" t="s">
        <v>538</v>
      </c>
      <c r="E195" s="357"/>
      <c r="F195" s="400"/>
      <c r="G195" s="389"/>
      <c r="H195" s="389"/>
      <c r="I195" s="357"/>
      <c r="J195" s="407"/>
      <c r="K195" s="392"/>
    </row>
    <row r="196" spans="1:11" ht="19">
      <c r="A196" s="466" t="s">
        <v>695</v>
      </c>
      <c r="B196" s="467"/>
      <c r="C196" s="467"/>
      <c r="D196" s="467"/>
      <c r="E196" s="467"/>
      <c r="F196" s="467"/>
      <c r="G196" s="467"/>
      <c r="H196" s="468"/>
      <c r="I196" s="467"/>
      <c r="J196" s="467"/>
      <c r="K196" s="469"/>
    </row>
    <row r="197" spans="1:11" ht="17">
      <c r="A197" s="555" t="s">
        <v>696</v>
      </c>
      <c r="B197" s="556"/>
      <c r="C197" s="556"/>
      <c r="D197" s="556"/>
      <c r="E197" s="556"/>
      <c r="F197" s="556"/>
      <c r="G197" s="556"/>
      <c r="H197" s="556"/>
      <c r="I197" s="556"/>
      <c r="J197" s="556"/>
      <c r="K197" s="557"/>
    </row>
    <row r="198" spans="1:11" ht="18">
      <c r="A198" s="348" t="s">
        <v>519</v>
      </c>
      <c r="B198" s="349" t="s">
        <v>520</v>
      </c>
      <c r="C198" s="349"/>
      <c r="D198" s="349" t="s">
        <v>521</v>
      </c>
      <c r="E198" s="350" t="s">
        <v>522</v>
      </c>
      <c r="F198" s="351"/>
      <c r="G198" s="351"/>
      <c r="H198" s="351"/>
      <c r="I198" s="351"/>
      <c r="J198" s="351"/>
      <c r="K198" s="352"/>
    </row>
    <row r="199" spans="1:11" ht="17">
      <c r="A199" s="470" t="str">
        <f>A11</f>
        <v>最终型号</v>
      </c>
      <c r="B199" s="471" t="e">
        <f ca="1">最终型号</f>
        <v>#N/A</v>
      </c>
      <c r="C199" s="349"/>
      <c r="D199" s="349"/>
      <c r="E199" s="350"/>
      <c r="F199" s="351"/>
      <c r="G199" s="351"/>
      <c r="H199" s="351"/>
      <c r="I199" s="351"/>
      <c r="J199" s="351"/>
      <c r="K199" s="352"/>
    </row>
    <row r="200" spans="1:11" ht="17">
      <c r="A200" s="382" t="str">
        <f>A83</f>
        <v>有效池长A</v>
      </c>
      <c r="B200" s="371" t="e">
        <f>有效池长A</f>
        <v>#N/A</v>
      </c>
      <c r="C200" s="356"/>
      <c r="D200" s="472" t="str">
        <f>D83</f>
        <v>m</v>
      </c>
      <c r="E200" s="357"/>
      <c r="K200" s="358"/>
    </row>
    <row r="201" spans="1:11" ht="17">
      <c r="A201" s="353" t="str">
        <f>A85</f>
        <v>总池长</v>
      </c>
      <c r="B201" s="356" t="e">
        <f>总池长</f>
        <v>#N/A</v>
      </c>
      <c r="C201" s="356"/>
      <c r="D201" s="473" t="str">
        <f>D85</f>
        <v>m</v>
      </c>
      <c r="E201" s="357"/>
      <c r="K201" s="358"/>
    </row>
    <row r="202" spans="1:11" ht="17">
      <c r="A202" s="382" t="str">
        <f>A77</f>
        <v>旋流区宽B</v>
      </c>
      <c r="B202" s="356">
        <f>旋流区宽B</f>
        <v>0</v>
      </c>
      <c r="C202" s="356"/>
      <c r="D202" s="472" t="str">
        <f>D77</f>
        <v>m</v>
      </c>
      <c r="E202" s="357"/>
      <c r="K202" s="358"/>
    </row>
    <row r="203" spans="1:11" ht="17">
      <c r="A203" s="353" t="str">
        <f>A80</f>
        <v>单组总宽度C</v>
      </c>
      <c r="B203" s="356">
        <f>单组总宽度C</f>
        <v>0</v>
      </c>
      <c r="C203" s="356"/>
      <c r="D203" s="473" t="str">
        <f>D80</f>
        <v>m</v>
      </c>
      <c r="E203" s="357"/>
      <c r="K203" s="358"/>
    </row>
    <row r="204" spans="1:11" ht="34">
      <c r="A204" s="353" t="str">
        <f>A117</f>
        <v>砂斗壁斜坡(长边)底距栅区内隔墙外侧距离D</v>
      </c>
      <c r="B204" s="356" t="e">
        <f>B117</f>
        <v>#N/A</v>
      </c>
      <c r="C204" s="356"/>
      <c r="D204" s="473" t="str">
        <f>D117</f>
        <v>m</v>
      </c>
      <c r="E204" s="357"/>
      <c r="K204" s="358"/>
    </row>
    <row r="205" spans="1:11" ht="17">
      <c r="A205" s="353" t="str">
        <f>A111</f>
        <v>集砂槽底宽E</v>
      </c>
      <c r="B205" s="356" t="e">
        <f>B111</f>
        <v>#N/A</v>
      </c>
      <c r="C205" s="356"/>
      <c r="D205" s="473" t="str">
        <f>D111</f>
        <v>m</v>
      </c>
      <c r="E205" s="357"/>
      <c r="K205" s="358"/>
    </row>
    <row r="206" spans="1:11" ht="34">
      <c r="A206" s="353" t="str">
        <f>A116</f>
        <v>砂斗壁斜坡(短边)底距离斗底方槽近侧距离F</v>
      </c>
      <c r="B206" s="356">
        <f>B116</f>
        <v>0</v>
      </c>
      <c r="C206" s="356"/>
      <c r="D206" s="473" t="str">
        <f>D116</f>
        <v>m</v>
      </c>
      <c r="E206" s="357"/>
      <c r="K206" s="358"/>
    </row>
    <row r="207" spans="1:11" ht="17">
      <c r="A207" s="353" t="str">
        <f t="shared" ref="A207:B215" si="0">A89</f>
        <v>闸后进水渠道宽度尺寸G</v>
      </c>
      <c r="B207" s="356">
        <f t="shared" si="0"/>
        <v>0</v>
      </c>
      <c r="C207" s="356"/>
      <c r="D207" s="473" t="str">
        <f t="shared" ref="D207:D215" si="1">D89</f>
        <v>m</v>
      </c>
      <c r="E207" s="357"/>
      <c r="K207" s="358"/>
    </row>
    <row r="208" spans="1:11" ht="34">
      <c r="A208" s="353" t="str">
        <f t="shared" si="0"/>
        <v>曝气干管立管中心距闸门迎水外侧距离H</v>
      </c>
      <c r="B208" s="356">
        <f t="shared" si="0"/>
        <v>0.25</v>
      </c>
      <c r="C208" s="356"/>
      <c r="D208" s="473" t="str">
        <f t="shared" si="1"/>
        <v>m</v>
      </c>
      <c r="E208" s="357"/>
      <c r="K208" s="358"/>
    </row>
    <row r="209" spans="1:11" ht="34">
      <c r="A209" s="353" t="str">
        <f t="shared" si="0"/>
        <v>放空管中心距池体短边外侧距离I</v>
      </c>
      <c r="B209" s="356">
        <f t="shared" si="0"/>
        <v>1</v>
      </c>
      <c r="C209" s="356"/>
      <c r="D209" s="473" t="str">
        <f t="shared" si="1"/>
        <v>m</v>
      </c>
      <c r="E209" s="357"/>
      <c r="K209" s="358"/>
    </row>
    <row r="210" spans="1:11" ht="34">
      <c r="A210" s="353" t="str">
        <f t="shared" si="0"/>
        <v>曝气干管立管中心距池顶面距离J</v>
      </c>
      <c r="B210" s="356">
        <f t="shared" si="0"/>
        <v>0.2</v>
      </c>
      <c r="C210" s="356"/>
      <c r="D210" s="473" t="str">
        <f t="shared" si="1"/>
        <v>m</v>
      </c>
      <c r="E210" s="357"/>
      <c r="K210" s="358"/>
    </row>
    <row r="211" spans="1:11" ht="34">
      <c r="A211" s="353" t="str">
        <f t="shared" si="0"/>
        <v>曝气管中心距所在管廊墙内侧距离K</v>
      </c>
      <c r="B211" s="356">
        <f t="shared" si="0"/>
        <v>0.8</v>
      </c>
      <c r="C211" s="356"/>
      <c r="D211" s="473" t="str">
        <f t="shared" si="1"/>
        <v>m</v>
      </c>
      <c r="E211" s="357"/>
      <c r="K211" s="358"/>
    </row>
    <row r="212" spans="1:11" ht="34">
      <c r="A212" s="353" t="str">
        <f t="shared" si="0"/>
        <v>曝气干管立管中心距闸前进水渠池壁外侧距离L</v>
      </c>
      <c r="B212" s="356">
        <f t="shared" si="0"/>
        <v>0.2</v>
      </c>
      <c r="C212" s="356"/>
      <c r="D212" s="473" t="str">
        <f t="shared" si="1"/>
        <v>m</v>
      </c>
      <c r="E212" s="357"/>
      <c r="K212" s="358"/>
    </row>
    <row r="213" spans="1:11" ht="34">
      <c r="A213" s="353" t="str">
        <f t="shared" si="0"/>
        <v>邻近闸门进水孔洞间水平净距M</v>
      </c>
      <c r="B213" s="356">
        <f t="shared" si="0"/>
        <v>0.6</v>
      </c>
      <c r="C213" s="356"/>
      <c r="D213" s="473" t="str">
        <f t="shared" si="1"/>
        <v>m</v>
      </c>
      <c r="E213" s="357"/>
      <c r="K213" s="358"/>
    </row>
    <row r="214" spans="1:11" ht="17">
      <c r="A214" s="353" t="str">
        <f t="shared" si="0"/>
        <v>池间距N</v>
      </c>
      <c r="B214" s="356">
        <f t="shared" si="0"/>
        <v>1</v>
      </c>
      <c r="C214" s="356"/>
      <c r="D214" s="473" t="str">
        <f t="shared" si="1"/>
        <v>m</v>
      </c>
      <c r="E214" s="357"/>
      <c r="K214" s="358"/>
    </row>
    <row r="215" spans="1:11" ht="17">
      <c r="A215" s="353" t="str">
        <f t="shared" si="0"/>
        <v>闸后进水渠道长度尺寸P</v>
      </c>
      <c r="B215" s="356">
        <f t="shared" si="0"/>
        <v>1.5</v>
      </c>
      <c r="C215" s="356"/>
      <c r="D215" s="473" t="str">
        <f t="shared" si="1"/>
        <v>m</v>
      </c>
      <c r="E215" s="357"/>
      <c r="K215" s="358"/>
    </row>
    <row r="216" spans="1:11" ht="34">
      <c r="A216" s="353" t="str">
        <f>A114</f>
        <v>进水侧长边方向泥斗水平投影尺寸R</v>
      </c>
      <c r="B216" s="356">
        <f>B114</f>
        <v>0</v>
      </c>
      <c r="C216" s="356"/>
      <c r="D216" s="473" t="str">
        <f>D114</f>
        <v>m</v>
      </c>
      <c r="E216" s="357"/>
      <c r="K216" s="358"/>
    </row>
    <row r="217" spans="1:11" ht="34">
      <c r="A217" s="353" t="str">
        <f>A115</f>
        <v>出水侧长边方向泥斗水平投影尺寸S</v>
      </c>
      <c r="B217" s="356">
        <f>B115</f>
        <v>0</v>
      </c>
      <c r="C217" s="356"/>
      <c r="D217" s="473" t="str">
        <f>D115</f>
        <v>m</v>
      </c>
      <c r="E217" s="357"/>
      <c r="K217" s="358"/>
    </row>
    <row r="218" spans="1:11" ht="51">
      <c r="A218" s="353" t="str">
        <f t="shared" ref="A218:B220" si="2">A98</f>
        <v>最远端曝气竖支管与曝气干管末端法兰盘外侧距离T</v>
      </c>
      <c r="B218" s="356">
        <f t="shared" si="2"/>
        <v>0.3</v>
      </c>
      <c r="C218" s="356"/>
      <c r="D218" s="473" t="str">
        <f>D98</f>
        <v>m</v>
      </c>
      <c r="E218" s="357"/>
      <c r="K218" s="358"/>
    </row>
    <row r="219" spans="1:11" ht="51">
      <c r="A219" s="353" t="str">
        <f t="shared" si="2"/>
        <v>曝气干管末端法兰盘与曝气管管廊末端内墙距离U</v>
      </c>
      <c r="B219" s="356">
        <f t="shared" si="2"/>
        <v>0.5</v>
      </c>
      <c r="C219" s="356"/>
      <c r="D219" s="473" t="str">
        <f>D99</f>
        <v>m</v>
      </c>
      <c r="E219" s="357"/>
      <c r="K219" s="358"/>
    </row>
    <row r="220" spans="1:11" ht="34">
      <c r="A220" s="353" t="str">
        <f t="shared" si="2"/>
        <v>曝气管管廊末端内墙与出水堰迎水侧外墙距离V</v>
      </c>
      <c r="B220" s="356">
        <f t="shared" si="2"/>
        <v>1.5</v>
      </c>
      <c r="C220" s="356"/>
      <c r="D220" s="473" t="str">
        <f>D100</f>
        <v>m</v>
      </c>
      <c r="E220" s="357"/>
      <c r="K220" s="358"/>
    </row>
    <row r="221" spans="1:11" ht="17">
      <c r="A221" s="353" t="str">
        <f>A72</f>
        <v>Amin</v>
      </c>
      <c r="B221" s="356">
        <f ca="1">超高h1</f>
        <v>3.1246485596849665</v>
      </c>
      <c r="C221" s="356"/>
      <c r="D221" s="473" t="str">
        <f>D72</f>
        <v>m</v>
      </c>
      <c r="E221" s="357"/>
      <c r="K221" s="358"/>
    </row>
    <row r="222" spans="1:11" ht="17">
      <c r="A222" s="359" t="str">
        <f>A73</f>
        <v>B</v>
      </c>
      <c r="B222" s="347" t="e">
        <f>有效水深h2</f>
        <v>#N/A</v>
      </c>
      <c r="C222" s="371"/>
      <c r="D222" s="474" t="str">
        <f>D73</f>
        <v>m</v>
      </c>
      <c r="E222" s="372"/>
      <c r="K222" s="358"/>
    </row>
    <row r="223" spans="1:11" ht="17">
      <c r="A223" s="353" t="str">
        <f>A74</f>
        <v>C</v>
      </c>
      <c r="B223" s="475">
        <f>缓冲区高h3</f>
        <v>0</v>
      </c>
      <c r="C223" s="475"/>
      <c r="D223" s="473" t="str">
        <f>D74</f>
        <v>m</v>
      </c>
      <c r="E223" s="372"/>
      <c r="K223" s="358"/>
    </row>
    <row r="224" spans="1:11" ht="17">
      <c r="A224" s="353" t="str">
        <f>A75</f>
        <v>D</v>
      </c>
      <c r="B224" s="362">
        <f>集砂槽高h4</f>
        <v>0</v>
      </c>
      <c r="C224" s="362"/>
      <c r="D224" s="473" t="str">
        <f>D75</f>
        <v>m</v>
      </c>
      <c r="E224" s="357"/>
      <c r="K224" s="358"/>
    </row>
    <row r="225" spans="1:11" ht="17">
      <c r="A225" s="353" t="str">
        <f>A76</f>
        <v>挡水槽长度E</v>
      </c>
      <c r="B225" s="362">
        <f ca="1">池总高h5</f>
        <v>1.6</v>
      </c>
      <c r="C225" s="362"/>
      <c r="D225" s="473" t="str">
        <f>D76</f>
        <v>m</v>
      </c>
      <c r="E225" s="372"/>
      <c r="K225" s="358"/>
    </row>
    <row r="226" spans="1:11" ht="17">
      <c r="A226" s="353" t="str">
        <f>A87</f>
        <v>隔墙低于液位距离h6</v>
      </c>
      <c r="B226" s="356" t="e">
        <f>隔墙低于液位距离h6</f>
        <v>#N/A</v>
      </c>
      <c r="C226" s="356"/>
      <c r="D226" s="473" t="str">
        <f>D87</f>
        <v>m</v>
      </c>
      <c r="E226" s="372"/>
      <c r="K226" s="358"/>
    </row>
    <row r="227" spans="1:11" ht="17">
      <c r="A227" s="353" t="str">
        <f>A88</f>
        <v>过流洞高h7</v>
      </c>
      <c r="B227" s="476" t="e">
        <f>B88</f>
        <v>#N/A</v>
      </c>
      <c r="C227" s="476"/>
      <c r="D227" s="473" t="str">
        <f>D88</f>
        <v>m</v>
      </c>
      <c r="E227" s="372"/>
      <c r="K227" s="358"/>
    </row>
    <row r="228" spans="1:11" ht="39" customHeight="1">
      <c r="A228" s="353" t="str">
        <f>A141</f>
        <v>空气扩散装置浸没水深h8</v>
      </c>
      <c r="B228" s="356" t="e">
        <f>空气扩散装置浸没水深h8</f>
        <v>#N/A</v>
      </c>
      <c r="C228" s="356"/>
      <c r="D228" s="473" t="str">
        <f>D141</f>
        <v>m</v>
      </c>
      <c r="E228" s="372"/>
      <c r="K228" s="358"/>
    </row>
    <row r="229" spans="1:11" ht="34">
      <c r="A229" s="353" t="str">
        <f>A101</f>
        <v>闸后进水渠道水面与池顶板下底高差h9</v>
      </c>
      <c r="B229" s="356">
        <f ca="1">B101</f>
        <v>3.0746485596849666</v>
      </c>
      <c r="C229" s="356"/>
      <c r="D229" s="473" t="str">
        <f>D101</f>
        <v>m</v>
      </c>
      <c r="E229" s="372"/>
      <c r="K229" s="358"/>
    </row>
    <row r="230" spans="1:11" ht="17">
      <c r="A230" s="353" t="str">
        <f>A168</f>
        <v>闸后进水渠道内水深h10</v>
      </c>
      <c r="B230" s="356">
        <f>B168</f>
        <v>0</v>
      </c>
      <c r="C230" s="356"/>
      <c r="D230" s="473" t="str">
        <f>D168</f>
        <v>m</v>
      </c>
      <c r="E230" s="372"/>
      <c r="K230" s="358"/>
    </row>
    <row r="231" spans="1:11" ht="17">
      <c r="A231" s="353" t="str">
        <f t="shared" ref="A231:B237" si="3">A102</f>
        <v>闸后进水渠道内超高h11</v>
      </c>
      <c r="B231" s="356">
        <f t="shared" si="3"/>
        <v>0.25</v>
      </c>
      <c r="C231" s="356"/>
      <c r="D231" s="473" t="str">
        <f t="shared" ref="D231:D237" si="4">D102</f>
        <v>m</v>
      </c>
      <c r="E231" s="372"/>
      <c r="K231" s="358"/>
    </row>
    <row r="232" spans="1:11" ht="17">
      <c r="A232" s="353" t="str">
        <f t="shared" si="3"/>
        <v>出水堰堰上水头h12</v>
      </c>
      <c r="B232" s="475">
        <f t="shared" si="3"/>
        <v>0.2</v>
      </c>
      <c r="C232" s="475"/>
      <c r="D232" s="356" t="str">
        <f t="shared" si="4"/>
        <v>m</v>
      </c>
      <c r="E232" s="357"/>
      <c r="K232" s="358"/>
    </row>
    <row r="233" spans="1:11" ht="17">
      <c r="A233" s="353" t="str">
        <f t="shared" si="3"/>
        <v>出水堰堰后跌水高度h13</v>
      </c>
      <c r="B233" s="475">
        <f t="shared" si="3"/>
        <v>0.1</v>
      </c>
      <c r="C233" s="475"/>
      <c r="D233" s="356" t="str">
        <f t="shared" si="4"/>
        <v>m</v>
      </c>
      <c r="E233" s="357"/>
      <c r="K233" s="358"/>
    </row>
    <row r="234" spans="1:11" ht="34">
      <c r="A234" s="353" t="str">
        <f t="shared" si="3"/>
        <v>排渣撇渣渠顶与池内水位高差h14</v>
      </c>
      <c r="B234" s="475">
        <f t="shared" si="3"/>
        <v>0.05</v>
      </c>
      <c r="C234" s="475"/>
      <c r="D234" s="356" t="str">
        <f t="shared" si="4"/>
        <v>m</v>
      </c>
      <c r="E234" s="357"/>
      <c r="K234" s="358"/>
    </row>
    <row r="235" spans="1:11" ht="34">
      <c r="A235" s="382" t="str">
        <f t="shared" si="3"/>
        <v>排渣非撇渣渠顶与池内水位高差h15</v>
      </c>
      <c r="B235" s="477">
        <f t="shared" si="3"/>
        <v>0.25</v>
      </c>
      <c r="C235" s="477"/>
      <c r="D235" s="371" t="str">
        <f t="shared" si="4"/>
        <v>m</v>
      </c>
      <c r="E235" s="372"/>
      <c r="K235" s="358"/>
    </row>
    <row r="236" spans="1:11" ht="34">
      <c r="A236" s="382" t="str">
        <f t="shared" si="3"/>
        <v>排渣渠底部与池内水位高差h16</v>
      </c>
      <c r="B236" s="477">
        <f t="shared" si="3"/>
        <v>0.5</v>
      </c>
      <c r="C236" s="477"/>
      <c r="D236" s="371" t="str">
        <f t="shared" si="4"/>
        <v>m</v>
      </c>
      <c r="E236" s="372"/>
      <c r="K236" s="358"/>
    </row>
    <row r="237" spans="1:11" ht="34">
      <c r="A237" s="382" t="str">
        <f t="shared" si="3"/>
        <v>出水管管底与池底高差h17</v>
      </c>
      <c r="B237" s="371">
        <f t="shared" si="3"/>
        <v>0.2</v>
      </c>
      <c r="C237" s="371"/>
      <c r="D237" s="371" t="str">
        <f t="shared" si="4"/>
        <v>m</v>
      </c>
      <c r="E237" s="372"/>
      <c r="F237" s="371"/>
      <c r="G237" s="371"/>
      <c r="H237" s="396"/>
      <c r="I237" s="371"/>
      <c r="J237" s="371"/>
      <c r="K237" s="378"/>
    </row>
    <row r="238" spans="1:11" ht="17">
      <c r="A238" s="558" t="s">
        <v>697</v>
      </c>
      <c r="B238" s="559"/>
      <c r="C238" s="559"/>
      <c r="D238" s="559"/>
      <c r="E238" s="559"/>
      <c r="F238" s="559"/>
      <c r="G238" s="559"/>
      <c r="H238" s="559"/>
      <c r="I238" s="559"/>
      <c r="J238" s="559"/>
      <c r="K238" s="560"/>
    </row>
    <row r="239" spans="1:11" ht="17">
      <c r="A239" s="478" t="s">
        <v>698</v>
      </c>
      <c r="B239" s="478" t="s">
        <v>699</v>
      </c>
      <c r="C239" s="478"/>
      <c r="D239" s="478" t="s">
        <v>700</v>
      </c>
      <c r="E239" s="478" t="s">
        <v>701</v>
      </c>
      <c r="F239" s="478" t="s">
        <v>702</v>
      </c>
      <c r="G239" s="478" t="s">
        <v>703</v>
      </c>
      <c r="H239" s="479" t="s">
        <v>704</v>
      </c>
      <c r="I239" s="478" t="s">
        <v>521</v>
      </c>
      <c r="J239" s="478" t="s">
        <v>102</v>
      </c>
      <c r="K239" s="480" t="s">
        <v>705</v>
      </c>
    </row>
    <row r="240" spans="1:11">
      <c r="A240" s="561" t="e">
        <f ca="1">IF(COUNTIF(最终型号,"ZDY*")=1,"见自定义设备配置清单",最终型号)</f>
        <v>#N/A</v>
      </c>
      <c r="B240" s="481" t="e">
        <v>#N/A</v>
      </c>
      <c r="C240" s="481"/>
      <c r="D240" s="481" t="e">
        <v>#N/A</v>
      </c>
      <c r="E240" s="481" t="e">
        <v>#N/A</v>
      </c>
      <c r="F240" s="481" t="e">
        <v>#N/A</v>
      </c>
      <c r="G240" s="483" t="e">
        <v>#N/A</v>
      </c>
      <c r="H240" s="481" t="e">
        <v>#N/A</v>
      </c>
      <c r="I240" s="481" t="e">
        <v>#N/A</v>
      </c>
      <c r="J240" s="481" t="e">
        <v>#N/A</v>
      </c>
      <c r="K240" s="483" t="e">
        <v>#N/A</v>
      </c>
    </row>
    <row r="241" spans="1:11">
      <c r="A241" s="561"/>
      <c r="B241" s="481" t="e">
        <v>#N/A</v>
      </c>
      <c r="C241" s="481"/>
      <c r="D241" s="481" t="e">
        <v>#N/A</v>
      </c>
      <c r="E241" s="481" t="e">
        <v>#N/A</v>
      </c>
      <c r="F241" s="481" t="e">
        <v>#N/A</v>
      </c>
      <c r="G241" s="483" t="e">
        <v>#N/A</v>
      </c>
      <c r="H241" s="481" t="e">
        <v>#N/A</v>
      </c>
      <c r="I241" s="481" t="e">
        <v>#N/A</v>
      </c>
      <c r="J241" s="481" t="e">
        <v>#N/A</v>
      </c>
      <c r="K241" s="483" t="e">
        <v>#N/A</v>
      </c>
    </row>
    <row r="242" spans="1:11">
      <c r="A242" s="561"/>
      <c r="B242" s="481" t="e">
        <v>#N/A</v>
      </c>
      <c r="C242" s="481"/>
      <c r="D242" s="481" t="e">
        <v>#N/A</v>
      </c>
      <c r="E242" s="481" t="e">
        <v>#N/A</v>
      </c>
      <c r="F242" s="481" t="e">
        <v>#N/A</v>
      </c>
      <c r="G242" s="483" t="e">
        <v>#N/A</v>
      </c>
      <c r="H242" s="481" t="e">
        <v>#N/A</v>
      </c>
      <c r="I242" s="481" t="e">
        <v>#N/A</v>
      </c>
      <c r="J242" s="481" t="e">
        <v>#N/A</v>
      </c>
      <c r="K242" s="483" t="e">
        <v>#N/A</v>
      </c>
    </row>
    <row r="243" spans="1:11">
      <c r="A243" s="561"/>
      <c r="B243" s="481" t="e">
        <v>#N/A</v>
      </c>
      <c r="C243" s="481"/>
      <c r="D243" s="481" t="e">
        <v>#N/A</v>
      </c>
      <c r="E243" s="481" t="e">
        <v>#N/A</v>
      </c>
      <c r="F243" s="481" t="e">
        <v>#N/A</v>
      </c>
      <c r="G243" s="483" t="e">
        <v>#N/A</v>
      </c>
      <c r="H243" s="481" t="e">
        <v>#N/A</v>
      </c>
      <c r="I243" s="481" t="e">
        <v>#N/A</v>
      </c>
      <c r="J243" s="481" t="e">
        <v>#N/A</v>
      </c>
      <c r="K243" s="483" t="e">
        <v>#N/A</v>
      </c>
    </row>
    <row r="244" spans="1:11">
      <c r="A244" s="561"/>
      <c r="B244" s="481" t="e">
        <v>#N/A</v>
      </c>
      <c r="C244" s="481"/>
      <c r="D244" s="481" t="e">
        <v>#N/A</v>
      </c>
      <c r="E244" s="481" t="e">
        <v>#N/A</v>
      </c>
      <c r="F244" s="481" t="e">
        <v>#N/A</v>
      </c>
      <c r="G244" s="483" t="e">
        <v>#N/A</v>
      </c>
      <c r="H244" s="481" t="e">
        <v>#N/A</v>
      </c>
      <c r="I244" s="481" t="e">
        <v>#N/A</v>
      </c>
      <c r="J244" s="481" t="e">
        <v>#N/A</v>
      </c>
      <c r="K244" s="483" t="e">
        <v>#N/A</v>
      </c>
    </row>
    <row r="245" spans="1:11">
      <c r="A245" s="561"/>
      <c r="B245" s="481" t="e">
        <v>#N/A</v>
      </c>
      <c r="C245" s="481"/>
      <c r="D245" s="481" t="e">
        <v>#N/A</v>
      </c>
      <c r="E245" s="481" t="e">
        <v>#N/A</v>
      </c>
      <c r="F245" s="481" t="e">
        <v>#N/A</v>
      </c>
      <c r="G245" s="483" t="e">
        <v>#N/A</v>
      </c>
      <c r="H245" s="481" t="e">
        <v>#N/A</v>
      </c>
      <c r="I245" s="481" t="e">
        <v>#N/A</v>
      </c>
      <c r="J245" s="481" t="e">
        <v>#N/A</v>
      </c>
      <c r="K245" s="483" t="e">
        <v>#N/A</v>
      </c>
    </row>
    <row r="246" spans="1:11">
      <c r="A246" s="561"/>
      <c r="B246" s="481" t="e">
        <v>#N/A</v>
      </c>
      <c r="C246" s="481"/>
      <c r="D246" s="481" t="e">
        <v>#N/A</v>
      </c>
      <c r="E246" s="481" t="e">
        <v>#N/A</v>
      </c>
      <c r="F246" s="481" t="e">
        <v>#N/A</v>
      </c>
      <c r="G246" s="483" t="e">
        <v>#N/A</v>
      </c>
      <c r="H246" s="481" t="e">
        <v>#N/A</v>
      </c>
      <c r="I246" s="481" t="e">
        <v>#N/A</v>
      </c>
      <c r="J246" s="481" t="e">
        <v>#N/A</v>
      </c>
      <c r="K246" s="483" t="e">
        <v>#N/A</v>
      </c>
    </row>
    <row r="247" spans="1:11">
      <c r="A247" s="561"/>
      <c r="B247" s="481" t="e">
        <v>#N/A</v>
      </c>
      <c r="C247" s="481"/>
      <c r="D247" s="481" t="e">
        <v>#N/A</v>
      </c>
      <c r="E247" s="481" t="e">
        <v>#N/A</v>
      </c>
      <c r="F247" s="481" t="e">
        <v>#N/A</v>
      </c>
      <c r="G247" s="483" t="e">
        <v>#N/A</v>
      </c>
      <c r="H247" s="481" t="e">
        <v>#N/A</v>
      </c>
      <c r="I247" s="481" t="e">
        <v>#N/A</v>
      </c>
      <c r="J247" s="481" t="e">
        <v>#N/A</v>
      </c>
      <c r="K247" s="483" t="e">
        <v>#N/A</v>
      </c>
    </row>
    <row r="248" spans="1:11">
      <c r="A248" s="561"/>
      <c r="B248" s="481" t="e">
        <v>#N/A</v>
      </c>
      <c r="C248" s="481"/>
      <c r="D248" s="481" t="e">
        <v>#N/A</v>
      </c>
      <c r="E248" s="481" t="e">
        <v>#N/A</v>
      </c>
      <c r="F248" s="481" t="e">
        <v>#N/A</v>
      </c>
      <c r="G248" s="483" t="e">
        <v>#N/A</v>
      </c>
      <c r="H248" s="481" t="e">
        <v>#N/A</v>
      </c>
      <c r="I248" s="481" t="e">
        <v>#N/A</v>
      </c>
      <c r="J248" s="481" t="e">
        <v>#N/A</v>
      </c>
      <c r="K248" s="483" t="e">
        <v>#N/A</v>
      </c>
    </row>
    <row r="249" spans="1:11">
      <c r="A249" s="561"/>
      <c r="B249" s="481" t="e">
        <v>#N/A</v>
      </c>
      <c r="C249" s="481"/>
      <c r="D249" s="481" t="e">
        <v>#N/A</v>
      </c>
      <c r="E249" s="481" t="e">
        <v>#N/A</v>
      </c>
      <c r="F249" s="481" t="e">
        <v>#N/A</v>
      </c>
      <c r="G249" s="483" t="e">
        <v>#N/A</v>
      </c>
      <c r="H249" s="481" t="e">
        <v>#N/A</v>
      </c>
      <c r="I249" s="481" t="e">
        <v>#N/A</v>
      </c>
      <c r="J249" s="481" t="e">
        <v>#N/A</v>
      </c>
      <c r="K249" s="483" t="e">
        <v>#N/A</v>
      </c>
    </row>
    <row r="250" spans="1:11">
      <c r="A250" s="561"/>
      <c r="B250" s="481" t="e">
        <v>#N/A</v>
      </c>
      <c r="C250" s="481"/>
      <c r="D250" s="481" t="e">
        <v>#N/A</v>
      </c>
      <c r="E250" s="481" t="e">
        <v>#N/A</v>
      </c>
      <c r="F250" s="481" t="e">
        <v>#N/A</v>
      </c>
      <c r="G250" s="483" t="e">
        <v>#N/A</v>
      </c>
      <c r="H250" s="481" t="e">
        <v>#N/A</v>
      </c>
      <c r="I250" s="481" t="e">
        <v>#N/A</v>
      </c>
      <c r="J250" s="481" t="e">
        <v>#N/A</v>
      </c>
      <c r="K250" s="483" t="e">
        <v>#N/A</v>
      </c>
    </row>
    <row r="251" spans="1:11">
      <c r="A251" s="561"/>
      <c r="B251" s="482" t="e">
        <v>#N/A</v>
      </c>
      <c r="C251" s="482"/>
      <c r="D251" s="482" t="e">
        <v>#N/A</v>
      </c>
      <c r="E251" s="482" t="e">
        <v>#N/A</v>
      </c>
      <c r="F251" s="482" t="e">
        <v>#N/A</v>
      </c>
      <c r="G251" s="484" t="e">
        <v>#N/A</v>
      </c>
      <c r="H251" s="482" t="e">
        <v>#N/A</v>
      </c>
      <c r="I251" s="482" t="e">
        <v>#N/A</v>
      </c>
      <c r="J251" s="482" t="e">
        <v>#N/A</v>
      </c>
      <c r="K251" s="484" t="e">
        <v>#N/A</v>
      </c>
    </row>
    <row r="252" spans="1:11">
      <c r="A252" s="561"/>
      <c r="B252" s="481" t="e">
        <v>#N/A</v>
      </c>
      <c r="C252" s="481"/>
      <c r="D252" s="481" t="e">
        <v>#N/A</v>
      </c>
      <c r="E252" s="481" t="e">
        <v>#N/A</v>
      </c>
      <c r="F252" s="481" t="e">
        <v>#N/A</v>
      </c>
      <c r="G252" s="483" t="e">
        <v>#N/A</v>
      </c>
      <c r="H252" s="481" t="e">
        <v>#N/A</v>
      </c>
      <c r="I252" s="481" t="e">
        <v>#N/A</v>
      </c>
      <c r="J252" s="481" t="e">
        <v>#N/A</v>
      </c>
      <c r="K252" s="483" t="e">
        <v>#N/A</v>
      </c>
    </row>
    <row r="253" spans="1:11">
      <c r="A253" s="561"/>
      <c r="B253" s="481" t="e">
        <v>#N/A</v>
      </c>
      <c r="C253" s="481"/>
      <c r="D253" s="481" t="e">
        <v>#N/A</v>
      </c>
      <c r="E253" s="481" t="e">
        <v>#N/A</v>
      </c>
      <c r="F253" s="481" t="e">
        <v>#N/A</v>
      </c>
      <c r="G253" s="483" t="e">
        <v>#N/A</v>
      </c>
      <c r="H253" s="481" t="e">
        <v>#N/A</v>
      </c>
      <c r="I253" s="481" t="e">
        <v>#N/A</v>
      </c>
      <c r="J253" s="481" t="e">
        <v>#N/A</v>
      </c>
      <c r="K253" s="483" t="e">
        <v>#N/A</v>
      </c>
    </row>
    <row r="254" spans="1:11">
      <c r="A254" s="561"/>
      <c r="B254" s="481" t="e">
        <v>#N/A</v>
      </c>
      <c r="C254" s="481"/>
      <c r="D254" s="481" t="e">
        <v>#N/A</v>
      </c>
      <c r="E254" s="481" t="e">
        <v>#N/A</v>
      </c>
      <c r="F254" s="481" t="e">
        <v>#N/A</v>
      </c>
      <c r="G254" s="483" t="e">
        <v>#N/A</v>
      </c>
      <c r="H254" s="481" t="e">
        <v>#N/A</v>
      </c>
      <c r="I254" s="481" t="e">
        <v>#N/A</v>
      </c>
      <c r="J254" s="481" t="e">
        <v>#N/A</v>
      </c>
      <c r="K254" s="483" t="e">
        <v>#N/A</v>
      </c>
    </row>
    <row r="255" spans="1:11">
      <c r="A255" s="561"/>
      <c r="B255" s="481" t="e">
        <v>#N/A</v>
      </c>
      <c r="C255" s="481"/>
      <c r="D255" s="481" t="e">
        <v>#N/A</v>
      </c>
      <c r="E255" s="481" t="e">
        <v>#N/A</v>
      </c>
      <c r="F255" s="481" t="e">
        <v>#N/A</v>
      </c>
      <c r="G255" s="483" t="e">
        <v>#N/A</v>
      </c>
      <c r="H255" s="481" t="e">
        <v>#N/A</v>
      </c>
      <c r="I255" s="481" t="e">
        <v>#N/A</v>
      </c>
      <c r="J255" s="481" t="e">
        <v>#N/A</v>
      </c>
      <c r="K255" s="483" t="e">
        <v>#N/A</v>
      </c>
    </row>
    <row r="256" spans="1:11">
      <c r="A256" s="561"/>
      <c r="B256" s="481" t="e">
        <v>#N/A</v>
      </c>
      <c r="C256" s="481"/>
      <c r="D256" s="481" t="e">
        <v>#N/A</v>
      </c>
      <c r="E256" s="481" t="e">
        <v>#N/A</v>
      </c>
      <c r="F256" s="481" t="e">
        <v>#N/A</v>
      </c>
      <c r="G256" s="483" t="e">
        <v>#N/A</v>
      </c>
      <c r="H256" s="481" t="e">
        <v>#N/A</v>
      </c>
      <c r="I256" s="481" t="e">
        <v>#N/A</v>
      </c>
      <c r="J256" s="481" t="e">
        <v>#N/A</v>
      </c>
      <c r="K256" s="483" t="e">
        <v>#N/A</v>
      </c>
    </row>
    <row r="257" spans="1:11">
      <c r="A257" s="561"/>
      <c r="B257" s="481" t="e">
        <v>#N/A</v>
      </c>
      <c r="C257" s="481"/>
      <c r="D257" s="481" t="e">
        <v>#N/A</v>
      </c>
      <c r="E257" s="481" t="e">
        <v>#N/A</v>
      </c>
      <c r="F257" s="481" t="e">
        <v>#N/A</v>
      </c>
      <c r="G257" s="483" t="e">
        <v>#N/A</v>
      </c>
      <c r="H257" s="481" t="e">
        <v>#N/A</v>
      </c>
      <c r="I257" s="481" t="e">
        <v>#N/A</v>
      </c>
      <c r="J257" s="481" t="e">
        <v>#N/A</v>
      </c>
      <c r="K257" s="483" t="e">
        <v>#N/A</v>
      </c>
    </row>
    <row r="258" spans="1:11">
      <c r="A258" s="561"/>
      <c r="B258" s="481" t="e">
        <v>#N/A</v>
      </c>
      <c r="C258" s="481"/>
      <c r="D258" s="481" t="e">
        <v>#N/A</v>
      </c>
      <c r="E258" s="481" t="e">
        <v>#N/A</v>
      </c>
      <c r="F258" s="481" t="e">
        <v>#N/A</v>
      </c>
      <c r="G258" s="483" t="e">
        <v>#N/A</v>
      </c>
      <c r="H258" s="481" t="e">
        <v>#N/A</v>
      </c>
      <c r="I258" s="481" t="e">
        <v>#N/A</v>
      </c>
      <c r="J258" s="481" t="e">
        <v>#N/A</v>
      </c>
      <c r="K258" s="483" t="e">
        <v>#N/A</v>
      </c>
    </row>
    <row r="259" spans="1:11">
      <c r="A259" s="561"/>
      <c r="B259" s="481" t="e">
        <v>#N/A</v>
      </c>
      <c r="C259" s="481"/>
      <c r="D259" s="481" t="e">
        <v>#N/A</v>
      </c>
      <c r="E259" s="481" t="e">
        <v>#N/A</v>
      </c>
      <c r="F259" s="481" t="e">
        <v>#N/A</v>
      </c>
      <c r="G259" s="483" t="e">
        <v>#N/A</v>
      </c>
      <c r="H259" s="481" t="e">
        <v>#N/A</v>
      </c>
      <c r="I259" s="481" t="e">
        <v>#N/A</v>
      </c>
      <c r="J259" s="481" t="e">
        <v>#N/A</v>
      </c>
      <c r="K259" s="483" t="e">
        <v>#N/A</v>
      </c>
    </row>
    <row r="260" spans="1:11">
      <c r="A260" s="561"/>
      <c r="B260" s="481" t="e">
        <v>#N/A</v>
      </c>
      <c r="C260" s="481"/>
      <c r="D260" s="481" t="e">
        <v>#N/A</v>
      </c>
      <c r="E260" s="481" t="e">
        <v>#N/A</v>
      </c>
      <c r="F260" s="481" t="e">
        <v>#N/A</v>
      </c>
      <c r="G260" s="483" t="e">
        <v>#N/A</v>
      </c>
      <c r="H260" s="481" t="e">
        <v>#N/A</v>
      </c>
      <c r="I260" s="481" t="e">
        <v>#N/A</v>
      </c>
      <c r="J260" s="481" t="e">
        <v>#N/A</v>
      </c>
      <c r="K260" s="483" t="e">
        <v>#N/A</v>
      </c>
    </row>
    <row r="261" spans="1:11">
      <c r="A261" s="561"/>
      <c r="B261" s="481" t="e">
        <v>#N/A</v>
      </c>
      <c r="C261" s="481"/>
      <c r="D261" s="481" t="e">
        <v>#N/A</v>
      </c>
      <c r="E261" s="481" t="e">
        <v>#N/A</v>
      </c>
      <c r="F261" s="481" t="e">
        <v>#N/A</v>
      </c>
      <c r="G261" s="483" t="e">
        <v>#N/A</v>
      </c>
      <c r="H261" s="481" t="e">
        <v>#N/A</v>
      </c>
      <c r="I261" s="481" t="e">
        <v>#N/A</v>
      </c>
      <c r="J261" s="481" t="e">
        <v>#N/A</v>
      </c>
      <c r="K261" s="483" t="e">
        <v>#N/A</v>
      </c>
    </row>
    <row r="262" spans="1:11">
      <c r="A262" s="561"/>
      <c r="B262" s="481" t="e">
        <v>#N/A</v>
      </c>
      <c r="C262" s="481"/>
      <c r="D262" s="481" t="e">
        <v>#N/A</v>
      </c>
      <c r="E262" s="481" t="e">
        <v>#N/A</v>
      </c>
      <c r="F262" s="481" t="e">
        <v>#N/A</v>
      </c>
      <c r="G262" s="483" t="e">
        <v>#N/A</v>
      </c>
      <c r="H262" s="481" t="e">
        <v>#N/A</v>
      </c>
      <c r="I262" s="481" t="e">
        <v>#N/A</v>
      </c>
      <c r="J262" s="481" t="e">
        <v>#N/A</v>
      </c>
      <c r="K262" s="483" t="e">
        <v>#N/A</v>
      </c>
    </row>
    <row r="263" spans="1:11">
      <c r="A263" s="561"/>
      <c r="B263" s="481" t="e">
        <v>#N/A</v>
      </c>
      <c r="C263" s="481"/>
      <c r="D263" s="481" t="e">
        <v>#N/A</v>
      </c>
      <c r="E263" s="481" t="e">
        <v>#N/A</v>
      </c>
      <c r="F263" s="481" t="e">
        <v>#N/A</v>
      </c>
      <c r="G263" s="483" t="e">
        <v>#N/A</v>
      </c>
      <c r="H263" s="481" t="e">
        <v>#N/A</v>
      </c>
      <c r="I263" s="481" t="e">
        <v>#N/A</v>
      </c>
      <c r="J263" s="481" t="e">
        <v>#N/A</v>
      </c>
      <c r="K263" s="483" t="e">
        <v>#N/A</v>
      </c>
    </row>
    <row r="264" spans="1:11">
      <c r="A264" s="561"/>
      <c r="B264" s="481" t="e">
        <v>#N/A</v>
      </c>
      <c r="C264" s="481"/>
      <c r="D264" s="481" t="e">
        <v>#N/A</v>
      </c>
      <c r="E264" s="481" t="e">
        <v>#N/A</v>
      </c>
      <c r="F264" s="481" t="e">
        <v>#N/A</v>
      </c>
      <c r="G264" s="483" t="e">
        <v>#N/A</v>
      </c>
      <c r="H264" s="481" t="e">
        <v>#N/A</v>
      </c>
      <c r="I264" s="481" t="e">
        <v>#N/A</v>
      </c>
      <c r="J264" s="481" t="e">
        <v>#N/A</v>
      </c>
      <c r="K264" s="483" t="e">
        <v>#N/A</v>
      </c>
    </row>
    <row r="265" spans="1:11">
      <c r="A265" s="561"/>
      <c r="B265" s="481" t="e">
        <v>#N/A</v>
      </c>
      <c r="C265" s="481"/>
      <c r="D265" s="481" t="e">
        <v>#N/A</v>
      </c>
      <c r="E265" s="481" t="e">
        <v>#N/A</v>
      </c>
      <c r="F265" s="481" t="e">
        <v>#N/A</v>
      </c>
      <c r="G265" s="483" t="e">
        <v>#N/A</v>
      </c>
      <c r="H265" s="481" t="e">
        <v>#N/A</v>
      </c>
      <c r="I265" s="481" t="e">
        <v>#N/A</v>
      </c>
      <c r="J265" s="481" t="e">
        <v>#N/A</v>
      </c>
      <c r="K265" s="483" t="e">
        <v>#N/A</v>
      </c>
    </row>
    <row r="266" spans="1:11">
      <c r="A266" s="561"/>
      <c r="B266" s="481" t="e">
        <v>#N/A</v>
      </c>
      <c r="C266" s="481"/>
      <c r="D266" s="481" t="e">
        <v>#N/A</v>
      </c>
      <c r="E266" s="481" t="e">
        <v>#N/A</v>
      </c>
      <c r="F266" s="481" t="e">
        <v>#N/A</v>
      </c>
      <c r="G266" s="483" t="e">
        <v>#N/A</v>
      </c>
      <c r="H266" s="481" t="e">
        <v>#N/A</v>
      </c>
      <c r="I266" s="481" t="e">
        <v>#N/A</v>
      </c>
      <c r="J266" s="481" t="e">
        <v>#N/A</v>
      </c>
      <c r="K266" s="483" t="e">
        <v>#N/A</v>
      </c>
    </row>
    <row r="267" spans="1:11">
      <c r="A267" s="561"/>
      <c r="B267" s="481" t="e">
        <v>#N/A</v>
      </c>
      <c r="C267" s="481"/>
      <c r="D267" s="481" t="e">
        <v>#N/A</v>
      </c>
      <c r="E267" s="481" t="e">
        <v>#N/A</v>
      </c>
      <c r="F267" s="481" t="e">
        <v>#N/A</v>
      </c>
      <c r="G267" s="483" t="e">
        <v>#N/A</v>
      </c>
      <c r="H267" s="481" t="e">
        <v>#N/A</v>
      </c>
      <c r="I267" s="481" t="e">
        <v>#N/A</v>
      </c>
      <c r="J267" s="481" t="e">
        <v>#N/A</v>
      </c>
      <c r="K267" s="483" t="e">
        <v>#N/A</v>
      </c>
    </row>
    <row r="268" spans="1:11">
      <c r="A268" s="561"/>
      <c r="B268" s="481" t="e">
        <v>#N/A</v>
      </c>
      <c r="C268" s="481"/>
      <c r="D268" s="481" t="e">
        <v>#N/A</v>
      </c>
      <c r="E268" s="481" t="e">
        <v>#N/A</v>
      </c>
      <c r="F268" s="481" t="e">
        <v>#N/A</v>
      </c>
      <c r="G268" s="483" t="e">
        <v>#N/A</v>
      </c>
      <c r="H268" s="481" t="e">
        <v>#N/A</v>
      </c>
      <c r="I268" s="481" t="e">
        <v>#N/A</v>
      </c>
      <c r="J268" s="481" t="e">
        <v>#N/A</v>
      </c>
      <c r="K268" s="483" t="e">
        <v>#N/A</v>
      </c>
    </row>
    <row r="269" spans="1:11">
      <c r="A269" s="561"/>
      <c r="B269" s="481" t="e">
        <v>#N/A</v>
      </c>
      <c r="C269" s="481"/>
      <c r="D269" s="481" t="e">
        <v>#N/A</v>
      </c>
      <c r="E269" s="481" t="e">
        <v>#N/A</v>
      </c>
      <c r="F269" s="481" t="e">
        <v>#N/A</v>
      </c>
      <c r="G269" s="483" t="e">
        <v>#N/A</v>
      </c>
      <c r="H269" s="481" t="e">
        <v>#N/A</v>
      </c>
      <c r="I269" s="481" t="e">
        <v>#N/A</v>
      </c>
      <c r="J269" s="481" t="e">
        <v>#N/A</v>
      </c>
      <c r="K269" s="483" t="e">
        <v>#N/A</v>
      </c>
    </row>
    <row r="270" spans="1:11">
      <c r="A270" s="561"/>
      <c r="B270" s="481" t="e">
        <v>#N/A</v>
      </c>
      <c r="C270" s="481"/>
      <c r="D270" s="481" t="e">
        <v>#N/A</v>
      </c>
      <c r="E270" s="481" t="e">
        <v>#N/A</v>
      </c>
      <c r="F270" s="481" t="e">
        <v>#N/A</v>
      </c>
      <c r="G270" s="483" t="e">
        <v>#N/A</v>
      </c>
      <c r="H270" s="481" t="e">
        <v>#N/A</v>
      </c>
      <c r="I270" s="481" t="e">
        <v>#N/A</v>
      </c>
      <c r="J270" s="481" t="e">
        <v>#N/A</v>
      </c>
      <c r="K270" s="483" t="e">
        <v>#N/A</v>
      </c>
    </row>
    <row r="271" spans="1:11">
      <c r="A271" s="561"/>
      <c r="B271" s="481" t="e">
        <v>#N/A</v>
      </c>
      <c r="C271" s="481"/>
      <c r="D271" s="481" t="e">
        <v>#N/A</v>
      </c>
      <c r="E271" s="481" t="e">
        <v>#N/A</v>
      </c>
      <c r="F271" s="481" t="e">
        <v>#N/A</v>
      </c>
      <c r="G271" s="483" t="e">
        <v>#N/A</v>
      </c>
      <c r="H271" s="481" t="e">
        <v>#N/A</v>
      </c>
      <c r="I271" s="481" t="e">
        <v>#N/A</v>
      </c>
      <c r="J271" s="481" t="e">
        <v>#N/A</v>
      </c>
      <c r="K271" s="483" t="e">
        <v>#N/A</v>
      </c>
    </row>
    <row r="272" spans="1:11">
      <c r="A272" s="561"/>
      <c r="B272" s="481" t="e">
        <v>#N/A</v>
      </c>
      <c r="C272" s="481"/>
      <c r="D272" s="481" t="e">
        <v>#N/A</v>
      </c>
      <c r="E272" s="481" t="e">
        <v>#N/A</v>
      </c>
      <c r="F272" s="481" t="e">
        <v>#N/A</v>
      </c>
      <c r="G272" s="483" t="e">
        <v>#N/A</v>
      </c>
      <c r="H272" s="481" t="e">
        <v>#N/A</v>
      </c>
      <c r="I272" s="481" t="e">
        <v>#N/A</v>
      </c>
      <c r="J272" s="481" t="e">
        <v>#N/A</v>
      </c>
      <c r="K272" s="483" t="e">
        <v>#N/A</v>
      </c>
    </row>
    <row r="273" spans="1:11">
      <c r="A273" s="561"/>
      <c r="B273" s="481" t="e">
        <v>#N/A</v>
      </c>
      <c r="C273" s="481"/>
      <c r="D273" s="481" t="e">
        <v>#N/A</v>
      </c>
      <c r="E273" s="481" t="e">
        <v>#N/A</v>
      </c>
      <c r="F273" s="481" t="e">
        <v>#N/A</v>
      </c>
      <c r="G273" s="483" t="e">
        <v>#N/A</v>
      </c>
      <c r="H273" s="481" t="e">
        <v>#N/A</v>
      </c>
      <c r="I273" s="481" t="e">
        <v>#N/A</v>
      </c>
      <c r="J273" s="481" t="e">
        <v>#N/A</v>
      </c>
      <c r="K273" s="483" t="e">
        <v>#N/A</v>
      </c>
    </row>
    <row r="274" spans="1:11">
      <c r="A274" s="561"/>
      <c r="B274" s="481" t="e">
        <v>#N/A</v>
      </c>
      <c r="C274" s="481"/>
      <c r="D274" s="481" t="e">
        <v>#N/A</v>
      </c>
      <c r="E274" s="481" t="e">
        <v>#N/A</v>
      </c>
      <c r="F274" s="481" t="e">
        <v>#N/A</v>
      </c>
      <c r="G274" s="483" t="e">
        <v>#N/A</v>
      </c>
      <c r="H274" s="481" t="e">
        <v>#N/A</v>
      </c>
      <c r="I274" s="481" t="e">
        <v>#N/A</v>
      </c>
      <c r="J274" s="481" t="e">
        <v>#N/A</v>
      </c>
      <c r="K274" s="483" t="e">
        <v>#N/A</v>
      </c>
    </row>
    <row r="275" spans="1:11">
      <c r="A275" s="561"/>
      <c r="B275" s="481" t="e">
        <v>#N/A</v>
      </c>
      <c r="C275" s="481"/>
      <c r="D275" s="481" t="e">
        <v>#N/A</v>
      </c>
      <c r="E275" s="481" t="e">
        <v>#N/A</v>
      </c>
      <c r="F275" s="481" t="e">
        <v>#N/A</v>
      </c>
      <c r="G275" s="483" t="e">
        <v>#N/A</v>
      </c>
      <c r="H275" s="481" t="e">
        <v>#N/A</v>
      </c>
      <c r="I275" s="481" t="e">
        <v>#N/A</v>
      </c>
      <c r="J275" s="481" t="e">
        <v>#N/A</v>
      </c>
      <c r="K275" s="483" t="e">
        <v>#N/A</v>
      </c>
    </row>
    <row r="276" spans="1:11">
      <c r="A276" s="561"/>
      <c r="B276" s="481" t="e">
        <v>#N/A</v>
      </c>
      <c r="C276" s="481"/>
      <c r="D276" s="481" t="e">
        <v>#N/A</v>
      </c>
      <c r="E276" s="481" t="e">
        <v>#N/A</v>
      </c>
      <c r="F276" s="481" t="e">
        <v>#N/A</v>
      </c>
      <c r="G276" s="483" t="e">
        <v>#N/A</v>
      </c>
      <c r="H276" s="481" t="e">
        <v>#N/A</v>
      </c>
      <c r="I276" s="481" t="e">
        <v>#N/A</v>
      </c>
      <c r="J276" s="481" t="e">
        <v>#N/A</v>
      </c>
      <c r="K276" s="483" t="e">
        <v>#N/A</v>
      </c>
    </row>
    <row r="277" spans="1:11">
      <c r="A277" s="561"/>
      <c r="B277" s="481" t="e">
        <v>#N/A</v>
      </c>
      <c r="C277" s="481"/>
      <c r="D277" s="481" t="e">
        <v>#N/A</v>
      </c>
      <c r="E277" s="481" t="e">
        <v>#N/A</v>
      </c>
      <c r="F277" s="481" t="e">
        <v>#N/A</v>
      </c>
      <c r="G277" s="483" t="e">
        <v>#N/A</v>
      </c>
      <c r="H277" s="481" t="e">
        <v>#N/A</v>
      </c>
      <c r="I277" s="481" t="e">
        <v>#N/A</v>
      </c>
      <c r="J277" s="481" t="e">
        <v>#N/A</v>
      </c>
      <c r="K277" s="483" t="e">
        <v>#N/A</v>
      </c>
    </row>
    <row r="278" spans="1:11">
      <c r="A278" s="561"/>
      <c r="B278" s="481" t="e">
        <v>#N/A</v>
      </c>
      <c r="C278" s="481"/>
      <c r="D278" s="481" t="e">
        <v>#N/A</v>
      </c>
      <c r="E278" s="481" t="e">
        <v>#N/A</v>
      </c>
      <c r="F278" s="481" t="e">
        <v>#N/A</v>
      </c>
      <c r="G278" s="483" t="e">
        <v>#N/A</v>
      </c>
      <c r="H278" s="481" t="e">
        <v>#N/A</v>
      </c>
      <c r="I278" s="481" t="e">
        <v>#N/A</v>
      </c>
      <c r="J278" s="481" t="e">
        <v>#N/A</v>
      </c>
      <c r="K278" s="483" t="e">
        <v>#N/A</v>
      </c>
    </row>
    <row r="279" spans="1:11">
      <c r="A279" s="561"/>
      <c r="B279" s="481" t="e">
        <v>#N/A</v>
      </c>
      <c r="C279" s="481"/>
      <c r="D279" s="481" t="e">
        <v>#N/A</v>
      </c>
      <c r="E279" s="481" t="e">
        <v>#N/A</v>
      </c>
      <c r="F279" s="481" t="e">
        <v>#N/A</v>
      </c>
      <c r="G279" s="483" t="e">
        <v>#N/A</v>
      </c>
      <c r="H279" s="481" t="e">
        <v>#N/A</v>
      </c>
      <c r="I279" s="481" t="e">
        <v>#N/A</v>
      </c>
      <c r="J279" s="481" t="e">
        <v>#N/A</v>
      </c>
      <c r="K279" s="483" t="e">
        <v>#N/A</v>
      </c>
    </row>
    <row r="280" spans="1:11">
      <c r="A280" s="561"/>
      <c r="B280" s="481" t="e">
        <v>#N/A</v>
      </c>
      <c r="C280" s="481"/>
      <c r="D280" s="481" t="e">
        <v>#N/A</v>
      </c>
      <c r="E280" s="481" t="e">
        <v>#N/A</v>
      </c>
      <c r="F280" s="481" t="e">
        <v>#N/A</v>
      </c>
      <c r="G280" s="483" t="e">
        <v>#N/A</v>
      </c>
      <c r="H280" s="481" t="e">
        <v>#N/A</v>
      </c>
      <c r="I280" s="481" t="e">
        <v>#N/A</v>
      </c>
      <c r="J280" s="481" t="e">
        <v>#N/A</v>
      </c>
      <c r="K280" s="483" t="e">
        <v>#N/A</v>
      </c>
    </row>
    <row r="281" spans="1:11">
      <c r="A281" s="561"/>
      <c r="B281" s="481" t="e">
        <v>#N/A</v>
      </c>
      <c r="C281" s="481"/>
      <c r="D281" s="481" t="e">
        <v>#N/A</v>
      </c>
      <c r="E281" s="481" t="e">
        <v>#N/A</v>
      </c>
      <c r="F281" s="481" t="e">
        <v>#N/A</v>
      </c>
      <c r="G281" s="483" t="e">
        <v>#N/A</v>
      </c>
      <c r="H281" s="481" t="e">
        <v>#N/A</v>
      </c>
      <c r="I281" s="481" t="e">
        <v>#N/A</v>
      </c>
      <c r="J281" s="481" t="e">
        <v>#N/A</v>
      </c>
      <c r="K281" s="483" t="e">
        <v>#N/A</v>
      </c>
    </row>
    <row r="282" spans="1:11">
      <c r="A282" s="561"/>
      <c r="B282" s="481" t="e">
        <v>#N/A</v>
      </c>
      <c r="C282" s="481"/>
      <c r="D282" s="481" t="e">
        <v>#N/A</v>
      </c>
      <c r="E282" s="481" t="e">
        <v>#N/A</v>
      </c>
      <c r="F282" s="481" t="e">
        <v>#N/A</v>
      </c>
      <c r="G282" s="483" t="e">
        <v>#N/A</v>
      </c>
      <c r="H282" s="481" t="e">
        <v>#N/A</v>
      </c>
      <c r="I282" s="481" t="e">
        <v>#N/A</v>
      </c>
      <c r="J282" s="481" t="e">
        <v>#N/A</v>
      </c>
      <c r="K282" s="483" t="e">
        <v>#N/A</v>
      </c>
    </row>
    <row r="284" spans="1:11" ht="17">
      <c r="A284" s="558" t="s">
        <v>706</v>
      </c>
      <c r="B284" s="559"/>
      <c r="C284" s="559"/>
      <c r="D284" s="559"/>
      <c r="E284" s="559"/>
      <c r="F284" s="559"/>
      <c r="G284" s="559"/>
      <c r="H284" s="559"/>
      <c r="I284" s="559"/>
      <c r="J284" s="559"/>
      <c r="K284" s="560"/>
    </row>
    <row r="285" spans="1:11" ht="17">
      <c r="A285" s="485" t="s">
        <v>707</v>
      </c>
      <c r="B285" s="478" t="s">
        <v>699</v>
      </c>
      <c r="C285" s="478"/>
      <c r="D285" s="478" t="s">
        <v>700</v>
      </c>
      <c r="E285" s="478" t="s">
        <v>708</v>
      </c>
      <c r="F285" s="478" t="s">
        <v>702</v>
      </c>
      <c r="G285" s="478" t="s">
        <v>709</v>
      </c>
      <c r="H285" s="479" t="s">
        <v>710</v>
      </c>
      <c r="I285" s="478" t="s">
        <v>711</v>
      </c>
      <c r="J285" s="478" t="s">
        <v>102</v>
      </c>
      <c r="K285" s="480" t="s">
        <v>705</v>
      </c>
    </row>
    <row r="286" spans="1:11" ht="51">
      <c r="A286" s="562" t="str">
        <f ca="1">IF(COUNTIF(最终型号,"ZDY*")=1,最终型号,"见标准模块设备配置清单")</f>
        <v>见标准模块设备配置清单</v>
      </c>
      <c r="B286" s="486"/>
      <c r="C286" s="486"/>
      <c r="D286" s="487" t="s">
        <v>712</v>
      </c>
      <c r="E286" s="487" t="s">
        <v>713</v>
      </c>
      <c r="F286" s="487"/>
      <c r="G286" s="488" t="str">
        <f>CONCATENATE("闸板尺寸B×H=",进水闸门宽*1000,"mm×",门体高*1000,"mm ，双向承压，承压水头",承压水头,"kPa")</f>
        <v>闸板尺寸B×H=0mm×200mm ，双向承压，承压水头50kPa</v>
      </c>
      <c r="H286" s="489" t="s">
        <v>714</v>
      </c>
      <c r="I286" s="487" t="s">
        <v>134</v>
      </c>
      <c r="J286" s="487">
        <f>1*水泵备用数量</f>
        <v>1</v>
      </c>
      <c r="K286" s="490" t="s">
        <v>715</v>
      </c>
    </row>
    <row r="287" spans="1:11" ht="68">
      <c r="A287" s="563"/>
      <c r="B287" s="486"/>
      <c r="C287" s="486"/>
      <c r="D287" s="487" t="s">
        <v>712</v>
      </c>
      <c r="E287" s="487" t="s">
        <v>716</v>
      </c>
      <c r="F287" s="487"/>
      <c r="G287" s="488" t="e">
        <f ca="1">CONCATENATE("池长L=",有效池长A,"m，","总池宽B=",池总宽,"m，","分2条工作渠道，","池深H=",池总高h5,"m，浮渣区宽B1=",浮渣区宽b2*1000,"mm，","行走电机功率N=",水泵备用数量,"×",吸砂机电机功率,"kW")</f>
        <v>#N/A</v>
      </c>
      <c r="H287" s="489" t="s">
        <v>717</v>
      </c>
      <c r="I287" s="487" t="s">
        <v>134</v>
      </c>
      <c r="J287" s="487">
        <f>1*水泵运行数量</f>
        <v>4</v>
      </c>
      <c r="K287" s="490" t="s">
        <v>718</v>
      </c>
    </row>
    <row r="288" spans="1:11" ht="85">
      <c r="A288" s="563"/>
      <c r="B288" s="486"/>
      <c r="C288" s="486"/>
      <c r="D288" s="487" t="s">
        <v>712</v>
      </c>
      <c r="E288" s="487" t="s">
        <v>719</v>
      </c>
      <c r="F288" s="487"/>
      <c r="G288" s="488" t="str">
        <f>CONCATENATE("罗茨鼓风机，Q＝",提砂风机风量,"m3/min，P=",提砂风机风压,"MPa，N＝",提砂风机功率,"kW")</f>
        <v>罗茨鼓风机，Q＝0m3/min，P=0MPa，N＝0kW</v>
      </c>
      <c r="H288" s="489"/>
      <c r="I288" s="487" t="s">
        <v>134</v>
      </c>
      <c r="J288" s="487">
        <f>1*水泵备用数量</f>
        <v>1</v>
      </c>
      <c r="K288" s="490" t="s">
        <v>720</v>
      </c>
    </row>
    <row r="289" spans="1:11" ht="51">
      <c r="A289" s="563"/>
      <c r="B289" s="486"/>
      <c r="C289" s="486"/>
      <c r="D289" s="487" t="s">
        <v>712</v>
      </c>
      <c r="E289" s="487" t="s">
        <v>721</v>
      </c>
      <c r="F289" s="487"/>
      <c r="G289" s="488" t="str">
        <f>CONCATENATE("螺旋直径",螺旋直径,"mm，处理量",砂水分离器最小处理能力,"~",砂水分离器最大处理能力,"L/s，转速",砂水分离器转速,"rmp，N=",砂水分离器功率,"kW，落砂高度",落砂高度,"m")</f>
        <v>螺旋直径320mm，处理量12~20L/s，转速5rmp，N=0.37kW，落砂高度2.06m</v>
      </c>
      <c r="H289" s="489" t="s">
        <v>714</v>
      </c>
      <c r="I289" s="487" t="s">
        <v>134</v>
      </c>
      <c r="J289" s="487">
        <f>砂水分离器工作数量+砂水分离器备用数量</f>
        <v>0</v>
      </c>
      <c r="K289" s="490" t="str">
        <f>CONCATENATE(砂水分离器工作数量,"用",砂水分离器备用数量,"备，与吸砂机成套供货")</f>
        <v>0用0备，与吸砂机成套供货</v>
      </c>
    </row>
    <row r="290" spans="1:11" ht="17">
      <c r="A290" s="563"/>
      <c r="B290" s="486"/>
      <c r="C290" s="486"/>
      <c r="D290" s="487" t="s">
        <v>712</v>
      </c>
      <c r="E290" s="487" t="s">
        <v>722</v>
      </c>
      <c r="F290" s="487"/>
      <c r="G290" s="488" t="e">
        <f ca="1">CONCATENATE("罗茨鼓风机，Q=",单台风机需要风量,"m³/min，P=",ROUND(设计压力/100,3),"MPa，N=",曝气风机功率,"kW")</f>
        <v>#N/A</v>
      </c>
      <c r="H290" s="489"/>
      <c r="I290" s="487" t="s">
        <v>134</v>
      </c>
      <c r="J290" s="487" t="e">
        <f>曝气风机工作数量+曝气风机备用数量</f>
        <v>#N/A</v>
      </c>
      <c r="K290" s="490" t="e">
        <f>CONCATENATE(曝气风机工作数量,"用",曝气风机备用数量,"备，1台变频，配套止回阀、泄压阀、消音器、压力表、隔音罩")</f>
        <v>#N/A</v>
      </c>
    </row>
    <row r="291" spans="1:11" ht="17">
      <c r="A291" s="563"/>
      <c r="B291" s="486"/>
      <c r="C291" s="486"/>
      <c r="D291" s="487" t="s">
        <v>723</v>
      </c>
      <c r="E291" s="487" t="s">
        <v>724</v>
      </c>
      <c r="F291" s="487"/>
      <c r="G291" s="488" t="str">
        <f>CONCATENATE("DN",曝气干管管径d5,"，PN1.0MPa")</f>
        <v>DN0，PN1.0MPa</v>
      </c>
      <c r="H291" s="489" t="s">
        <v>725</v>
      </c>
      <c r="I291" s="487" t="s">
        <v>726</v>
      </c>
      <c r="J291" s="487" t="e">
        <f>J290</f>
        <v>#N/A</v>
      </c>
      <c r="K291" s="490"/>
    </row>
    <row r="292" spans="1:11" ht="34">
      <c r="A292" s="563"/>
      <c r="B292" s="486"/>
      <c r="C292" s="486"/>
      <c r="D292" s="487" t="s">
        <v>723</v>
      </c>
      <c r="E292" s="487" t="s">
        <v>727</v>
      </c>
      <c r="F292" s="487"/>
      <c r="G292" s="488" t="str">
        <f>CONCATENATE("DN",曝气干管管径d5,"，PN1.0MPa")</f>
        <v>DN0，PN1.0MPa</v>
      </c>
      <c r="H292" s="489" t="s">
        <v>728</v>
      </c>
      <c r="I292" s="487" t="s">
        <v>726</v>
      </c>
      <c r="J292" s="487" t="e">
        <f>J290</f>
        <v>#N/A</v>
      </c>
      <c r="K292" s="490"/>
    </row>
    <row r="293" spans="1:11" ht="17">
      <c r="A293" s="563"/>
      <c r="B293" s="486"/>
      <c r="C293" s="486"/>
      <c r="D293" s="487" t="s">
        <v>723</v>
      </c>
      <c r="E293" s="487" t="s">
        <v>724</v>
      </c>
      <c r="F293" s="487"/>
      <c r="G293" s="488" t="str">
        <f>CONCATENATE("DN",曝气支管管径d6,"，PN1.0MPa")</f>
        <v>DN0，PN1.0MPa</v>
      </c>
      <c r="H293" s="489" t="s">
        <v>725</v>
      </c>
      <c r="I293" s="487" t="s">
        <v>726</v>
      </c>
      <c r="J293" s="487" t="e">
        <f>曝气支管数量*1*水泵备用数量</f>
        <v>#N/A</v>
      </c>
      <c r="K293" s="490"/>
    </row>
    <row r="294" spans="1:11" ht="17">
      <c r="A294" s="563"/>
      <c r="B294" s="486"/>
      <c r="C294" s="486"/>
      <c r="D294" s="487" t="s">
        <v>723</v>
      </c>
      <c r="E294" s="487" t="s">
        <v>729</v>
      </c>
      <c r="F294" s="487"/>
      <c r="G294" s="488" t="str">
        <f>CONCATENATE("DN",放空管管径d4,"，PN1.0MPa")</f>
        <v>DN0，PN1.0MPa</v>
      </c>
      <c r="H294" s="489" t="s">
        <v>725</v>
      </c>
      <c r="I294" s="487" t="s">
        <v>726</v>
      </c>
      <c r="J294" s="487">
        <f>1*水泵备用数量</f>
        <v>1</v>
      </c>
      <c r="K294" s="490" t="s">
        <v>730</v>
      </c>
    </row>
    <row r="295" spans="1:11" ht="17">
      <c r="A295" s="563"/>
      <c r="B295" s="486"/>
      <c r="C295" s="486"/>
      <c r="D295" s="487" t="s">
        <v>723</v>
      </c>
      <c r="E295" s="487" t="s">
        <v>731</v>
      </c>
      <c r="F295" s="487"/>
      <c r="G295" s="488" t="str">
        <f>CONCATENATE("DN",放空管管径d4,"，PN1.0MPa")</f>
        <v>DN0，PN1.0MPa</v>
      </c>
      <c r="H295" s="489" t="s">
        <v>725</v>
      </c>
      <c r="I295" s="487" t="s">
        <v>726</v>
      </c>
      <c r="J295" s="487">
        <f>1*水泵备用数量</f>
        <v>1</v>
      </c>
      <c r="K295" s="490" t="s">
        <v>730</v>
      </c>
    </row>
    <row r="296" spans="1:11" ht="34">
      <c r="A296" s="563"/>
      <c r="B296" s="486"/>
      <c r="C296" s="486"/>
      <c r="D296" s="487" t="s">
        <v>723</v>
      </c>
      <c r="E296" s="487" t="s">
        <v>727</v>
      </c>
      <c r="F296" s="487"/>
      <c r="G296" s="488" t="str">
        <f>CONCATENATE("DN",水泵出水管管径,"，PN1.0MPa")</f>
        <v>DN700，PN1.0MPa</v>
      </c>
      <c r="H296" s="489" t="s">
        <v>732</v>
      </c>
      <c r="I296" s="487" t="s">
        <v>726</v>
      </c>
      <c r="J296" s="487">
        <f>1*水泵运行数量</f>
        <v>4</v>
      </c>
      <c r="K296" s="490"/>
    </row>
    <row r="297" spans="1:11" ht="34">
      <c r="A297" s="563"/>
      <c r="B297" s="486"/>
      <c r="C297" s="486"/>
      <c r="D297" s="487" t="s">
        <v>712</v>
      </c>
      <c r="E297" s="487" t="s">
        <v>733</v>
      </c>
      <c r="F297" s="487"/>
      <c r="G297" s="488" t="str">
        <f>CONCATENATE("V=",运砂小车容积,"m³")</f>
        <v>V=0.5m³</v>
      </c>
      <c r="H297" s="489" t="s">
        <v>734</v>
      </c>
      <c r="I297" s="487" t="s">
        <v>134</v>
      </c>
      <c r="J297" s="487">
        <v>1</v>
      </c>
      <c r="K297" s="490"/>
    </row>
    <row r="298" spans="1:11" ht="17">
      <c r="A298" s="563"/>
      <c r="B298" s="486"/>
      <c r="C298" s="486"/>
      <c r="D298" s="487" t="s">
        <v>723</v>
      </c>
      <c r="E298" s="487" t="s">
        <v>735</v>
      </c>
      <c r="F298" s="481" t="s">
        <v>736</v>
      </c>
      <c r="G298" s="484" t="str">
        <f>CONCATENATE("D",VLOOKUP(水泵出水管管径,'辅助-碳钢钢管管径壁厚'!$A$2:$C$26,2,FALSE),"×",VLOOKUP(水泵出水管管径,'辅助-碳钢钢管管径壁厚'!$A$2:$C$26,3,FALSE))</f>
        <v>D720×10</v>
      </c>
      <c r="H298" s="489" t="s">
        <v>737</v>
      </c>
      <c r="I298" s="489" t="s">
        <v>538</v>
      </c>
      <c r="J298" s="487">
        <f>水泵运行数量</f>
        <v>4</v>
      </c>
      <c r="K298" s="490" t="s">
        <v>738</v>
      </c>
    </row>
    <row r="299" spans="1:11" ht="17">
      <c r="A299" s="563"/>
      <c r="B299" s="486"/>
      <c r="C299" s="486"/>
      <c r="D299" s="487" t="s">
        <v>723</v>
      </c>
      <c r="E299" s="487" t="s">
        <v>735</v>
      </c>
      <c r="F299" s="481" t="s">
        <v>736</v>
      </c>
      <c r="G299" s="484" t="e">
        <f>CONCATENATE("D",VLOOKUP(排渣管管径d2,'辅助-碳钢钢管管径壁厚'!$A$2:$C$26,2,FALSE),"×",VLOOKUP(排渣管管径d2,'辅助-碳钢钢管管径壁厚'!$A$2:$C$26,3,FALSE))</f>
        <v>#N/A</v>
      </c>
      <c r="H299" s="489" t="s">
        <v>737</v>
      </c>
      <c r="I299" s="489" t="s">
        <v>538</v>
      </c>
      <c r="J299" s="487">
        <f>排渣管长度*水泵运行数量</f>
        <v>40</v>
      </c>
      <c r="K299" s="490" t="s">
        <v>739</v>
      </c>
    </row>
    <row r="300" spans="1:11" ht="17">
      <c r="A300" s="563"/>
      <c r="B300" s="486"/>
      <c r="C300" s="486"/>
      <c r="D300" s="487" t="s">
        <v>723</v>
      </c>
      <c r="E300" s="487" t="s">
        <v>735</v>
      </c>
      <c r="F300" s="481" t="s">
        <v>736</v>
      </c>
      <c r="G300" s="484" t="e">
        <f>CONCATENATE("D",VLOOKUP(排砂管管径d3,'辅助-碳钢钢管管径壁厚'!$A$2:$C$26,2,FALSE),"×",VLOOKUP(排砂管管径d3,'辅助-碳钢钢管管径壁厚'!$A$2:$C$26,3,FALSE))</f>
        <v>#N/A</v>
      </c>
      <c r="H300" s="489" t="s">
        <v>737</v>
      </c>
      <c r="I300" s="489" t="s">
        <v>538</v>
      </c>
      <c r="J300" s="487">
        <f>排砂管长度*水泵运行数量</f>
        <v>40</v>
      </c>
      <c r="K300" s="490" t="s">
        <v>740</v>
      </c>
    </row>
    <row r="301" spans="1:11" ht="17">
      <c r="A301" s="563"/>
      <c r="B301" s="486"/>
      <c r="C301" s="486"/>
      <c r="D301" s="487" t="s">
        <v>723</v>
      </c>
      <c r="E301" s="487" t="s">
        <v>735</v>
      </c>
      <c r="F301" s="481" t="s">
        <v>736</v>
      </c>
      <c r="G301" s="484" t="e">
        <f>CONCATENATE("D",VLOOKUP(放空管管径d4,'辅助-碳钢钢管管径壁厚'!$A$2:$C$26,2,FALSE),"×",VLOOKUP(放空管管径d4,'辅助-碳钢钢管管径壁厚'!$A$2:$C$26,3,FALSE))</f>
        <v>#N/A</v>
      </c>
      <c r="H301" s="489" t="s">
        <v>737</v>
      </c>
      <c r="I301" s="489" t="s">
        <v>538</v>
      </c>
      <c r="J301" s="487">
        <f>放空管长度*水泵运行数量</f>
        <v>40</v>
      </c>
      <c r="K301" s="490" t="s">
        <v>730</v>
      </c>
    </row>
    <row r="302" spans="1:11" ht="17">
      <c r="A302" s="563"/>
      <c r="B302" s="486"/>
      <c r="C302" s="486"/>
      <c r="D302" s="487" t="s">
        <v>723</v>
      </c>
      <c r="E302" s="487" t="s">
        <v>735</v>
      </c>
      <c r="F302" s="481" t="s">
        <v>736</v>
      </c>
      <c r="G302" s="484" t="e">
        <f>CONCATENATE("D",VLOOKUP(曝气干管管径d5,'辅助-碳钢钢管管径壁厚'!$A$2:$C$26,2,FALSE),"×",VLOOKUP(曝气干管管径d5,'辅助-碳钢钢管管径壁厚'!$A$2:$C$26,3,FALSE))</f>
        <v>#N/A</v>
      </c>
      <c r="H302" s="489" t="s">
        <v>737</v>
      </c>
      <c r="I302" s="489" t="s">
        <v>538</v>
      </c>
      <c r="J302" s="487">
        <f>曝气干管长度*水泵运行数量</f>
        <v>120</v>
      </c>
      <c r="K302" s="490" t="s">
        <v>741</v>
      </c>
    </row>
    <row r="303" spans="1:11" ht="17">
      <c r="A303" s="563"/>
      <c r="B303" s="486"/>
      <c r="C303" s="486"/>
      <c r="D303" s="487" t="s">
        <v>723</v>
      </c>
      <c r="E303" s="487" t="s">
        <v>735</v>
      </c>
      <c r="F303" s="481" t="s">
        <v>736</v>
      </c>
      <c r="G303" s="484" t="e">
        <f>CONCATENATE("D",VLOOKUP(曝气支管管径d6,'辅助-碳钢钢管管径壁厚'!$A$2:$C$26,2,FALSE),"×",VLOOKUP(曝气支管管径d6,'辅助-碳钢钢管管径壁厚'!$A$2:$C$26,3,FALSE))</f>
        <v>#N/A</v>
      </c>
      <c r="H303" s="489" t="s">
        <v>737</v>
      </c>
      <c r="I303" s="489" t="s">
        <v>538</v>
      </c>
      <c r="J303" s="487" t="e">
        <f>曝气支管数量*碳钢曝气支管单位长度*水泵备用数量</f>
        <v>#N/A</v>
      </c>
      <c r="K303" s="490" t="s">
        <v>742</v>
      </c>
    </row>
    <row r="304" spans="1:11" ht="17">
      <c r="A304" s="563"/>
      <c r="B304" s="486"/>
      <c r="C304" s="486"/>
      <c r="D304" s="487" t="s">
        <v>723</v>
      </c>
      <c r="E304" s="487" t="s">
        <v>743</v>
      </c>
      <c r="F304" s="481" t="s">
        <v>736</v>
      </c>
      <c r="G304" s="484" t="e">
        <f>CONCATENATE("Φ",VLOOKUP(曝气支管管径d6,'辅助-不锈钢管（曝气）管径壁厚'!A2:C21,2,FALSE),"×",VLOOKUP(曝气支管管径d6,'辅助-不锈钢管（曝气）管径壁厚'!A2:C216,3,FALSE))</f>
        <v>#N/A</v>
      </c>
      <c r="H304" s="489" t="s">
        <v>714</v>
      </c>
      <c r="I304" s="489" t="s">
        <v>538</v>
      </c>
      <c r="J304" s="487" t="e">
        <f>曝气支管数量*不锈钢曝气支管单位长度*水泵备用数量</f>
        <v>#N/A</v>
      </c>
      <c r="K304" s="490" t="s">
        <v>742</v>
      </c>
    </row>
    <row r="305" spans="1:11" ht="17">
      <c r="A305" s="563"/>
      <c r="B305" s="486"/>
      <c r="C305" s="486"/>
      <c r="D305" s="487" t="s">
        <v>723</v>
      </c>
      <c r="E305" s="487" t="s">
        <v>744</v>
      </c>
      <c r="F305" s="481" t="s">
        <v>736</v>
      </c>
      <c r="G305" s="484" t="str">
        <f>CONCATENATE("DN",曝气支管管径d6,"，L=",穿孔管长,"m")</f>
        <v>DN0，L=1.8m</v>
      </c>
      <c r="H305" s="489" t="s">
        <v>714</v>
      </c>
      <c r="I305" s="489" t="s">
        <v>745</v>
      </c>
      <c r="J305" s="487" t="e">
        <f>1*曝气支管数量*水泵备用数量</f>
        <v>#N/A</v>
      </c>
      <c r="K305" s="490" t="s">
        <v>742</v>
      </c>
    </row>
    <row r="306" spans="1:11" ht="34">
      <c r="A306" s="563"/>
      <c r="B306" s="486"/>
      <c r="C306" s="486"/>
      <c r="D306" s="487" t="s">
        <v>723</v>
      </c>
      <c r="E306" s="487" t="s">
        <v>746</v>
      </c>
      <c r="F306" s="481" t="s">
        <v>747</v>
      </c>
      <c r="G306" s="484" t="str">
        <f>CONCATENATE("DN",排渣管管径d2)</f>
        <v>DN0</v>
      </c>
      <c r="H306" s="489" t="s">
        <v>748</v>
      </c>
      <c r="I306" s="489" t="s">
        <v>749</v>
      </c>
      <c r="J306" s="487">
        <f>排渣管90°弯头数量*水泵运行数量</f>
        <v>16</v>
      </c>
      <c r="K306" s="490" t="s">
        <v>739</v>
      </c>
    </row>
    <row r="307" spans="1:11" ht="34">
      <c r="A307" s="563"/>
      <c r="B307" s="486"/>
      <c r="C307" s="486"/>
      <c r="D307" s="487" t="s">
        <v>723</v>
      </c>
      <c r="E307" s="487" t="s">
        <v>746</v>
      </c>
      <c r="F307" s="481" t="s">
        <v>747</v>
      </c>
      <c r="G307" s="484" t="str">
        <f>CONCATENATE("DN",排砂管管径d3)</f>
        <v>DN0</v>
      </c>
      <c r="H307" s="489" t="s">
        <v>748</v>
      </c>
      <c r="I307" s="489" t="s">
        <v>749</v>
      </c>
      <c r="J307" s="487">
        <f>排砂管90°弯头数量*水泵运行数量</f>
        <v>4</v>
      </c>
      <c r="K307" s="490" t="s">
        <v>740</v>
      </c>
    </row>
    <row r="308" spans="1:11" ht="34">
      <c r="A308" s="563"/>
      <c r="B308" s="486"/>
      <c r="C308" s="486"/>
      <c r="D308" s="487" t="s">
        <v>723</v>
      </c>
      <c r="E308" s="487" t="s">
        <v>746</v>
      </c>
      <c r="F308" s="481" t="s">
        <v>747</v>
      </c>
      <c r="G308" s="484" t="str">
        <f>CONCATENATE("DN",放空管管径d4)</f>
        <v>DN0</v>
      </c>
      <c r="H308" s="489" t="s">
        <v>748</v>
      </c>
      <c r="I308" s="489" t="s">
        <v>749</v>
      </c>
      <c r="J308" s="487">
        <f>放空管90°弯头数量*水泵运行数量</f>
        <v>12</v>
      </c>
      <c r="K308" s="490" t="s">
        <v>730</v>
      </c>
    </row>
    <row r="309" spans="1:11" ht="34">
      <c r="A309" s="563"/>
      <c r="B309" s="486"/>
      <c r="C309" s="486"/>
      <c r="D309" s="487" t="s">
        <v>723</v>
      </c>
      <c r="E309" s="487" t="s">
        <v>746</v>
      </c>
      <c r="F309" s="481" t="s">
        <v>747</v>
      </c>
      <c r="G309" s="484" t="str">
        <f>CONCATENATE("DN",曝气干管管径d5)</f>
        <v>DN0</v>
      </c>
      <c r="H309" s="489" t="s">
        <v>748</v>
      </c>
      <c r="I309" s="489" t="s">
        <v>749</v>
      </c>
      <c r="J309" s="487">
        <f>曝气干管90°弯头数量*水泵运行数量</f>
        <v>16</v>
      </c>
      <c r="K309" s="490" t="s">
        <v>741</v>
      </c>
    </row>
    <row r="310" spans="1:11" ht="34">
      <c r="A310" s="563"/>
      <c r="B310" s="486"/>
      <c r="C310" s="486"/>
      <c r="D310" s="487" t="s">
        <v>723</v>
      </c>
      <c r="E310" s="487" t="s">
        <v>746</v>
      </c>
      <c r="F310" s="481" t="s">
        <v>747</v>
      </c>
      <c r="G310" s="484" t="str">
        <f>CONCATENATE("DN",曝气支管管径d6)</f>
        <v>DN0</v>
      </c>
      <c r="H310" s="489" t="s">
        <v>750</v>
      </c>
      <c r="I310" s="489" t="s">
        <v>749</v>
      </c>
      <c r="J310" s="487" t="e">
        <f>1*曝气支管数量*水泵备用数量</f>
        <v>#N/A</v>
      </c>
      <c r="K310" s="490" t="s">
        <v>742</v>
      </c>
    </row>
    <row r="311" spans="1:11" ht="34">
      <c r="A311" s="563"/>
      <c r="B311" s="486"/>
      <c r="C311" s="486"/>
      <c r="D311" s="487" t="s">
        <v>723</v>
      </c>
      <c r="E311" s="487" t="s">
        <v>751</v>
      </c>
      <c r="F311" s="481" t="s">
        <v>747</v>
      </c>
      <c r="G311" s="484" t="str">
        <f>CONCATENATE("DN",曝气支管管径d6)</f>
        <v>DN0</v>
      </c>
      <c r="H311" s="489" t="s">
        <v>752</v>
      </c>
      <c r="I311" s="489" t="s">
        <v>749</v>
      </c>
      <c r="J311" s="487" t="e">
        <f>2*曝气支管数量*水泵备用数量</f>
        <v>#N/A</v>
      </c>
      <c r="K311" s="490" t="s">
        <v>742</v>
      </c>
    </row>
    <row r="312" spans="1:11" ht="34">
      <c r="A312" s="563"/>
      <c r="B312" s="486"/>
      <c r="C312" s="486"/>
      <c r="D312" s="487" t="s">
        <v>723</v>
      </c>
      <c r="E312" s="487" t="s">
        <v>753</v>
      </c>
      <c r="F312" s="481" t="s">
        <v>747</v>
      </c>
      <c r="G312" s="484" t="str">
        <f>CONCATENATE("DN",水泵出水管管径,"，A型")</f>
        <v>DN700，A型</v>
      </c>
      <c r="H312" s="489" t="s">
        <v>754</v>
      </c>
      <c r="I312" s="489" t="s">
        <v>749</v>
      </c>
      <c r="J312" s="487">
        <f>1*水泵运行数量</f>
        <v>4</v>
      </c>
      <c r="K312" s="490" t="s">
        <v>738</v>
      </c>
    </row>
    <row r="313" spans="1:11" ht="34">
      <c r="A313" s="563"/>
      <c r="B313" s="486"/>
      <c r="C313" s="486"/>
      <c r="D313" s="487" t="s">
        <v>723</v>
      </c>
      <c r="E313" s="487" t="s">
        <v>753</v>
      </c>
      <c r="F313" s="481" t="s">
        <v>747</v>
      </c>
      <c r="G313" s="484" t="str">
        <f>CONCATENATE("DN",排渣管管径d2,"，A型")</f>
        <v>DN0，A型</v>
      </c>
      <c r="H313" s="489" t="s">
        <v>754</v>
      </c>
      <c r="I313" s="489" t="s">
        <v>749</v>
      </c>
      <c r="J313" s="487">
        <f>4*水泵运行数量</f>
        <v>16</v>
      </c>
      <c r="K313" s="490" t="s">
        <v>739</v>
      </c>
    </row>
    <row r="314" spans="1:11" ht="34">
      <c r="A314" s="563"/>
      <c r="B314" s="486"/>
      <c r="C314" s="486"/>
      <c r="D314" s="487" t="s">
        <v>723</v>
      </c>
      <c r="E314" s="487" t="s">
        <v>753</v>
      </c>
      <c r="F314" s="481" t="s">
        <v>747</v>
      </c>
      <c r="G314" s="484" t="str">
        <f>CONCATENATE("DN",排砂管管径d3,"，A型")</f>
        <v>DN0，A型</v>
      </c>
      <c r="H314" s="489" t="s">
        <v>754</v>
      </c>
      <c r="I314" s="489" t="s">
        <v>749</v>
      </c>
      <c r="J314" s="487">
        <f>1*水泵运行数量</f>
        <v>4</v>
      </c>
      <c r="K314" s="490" t="s">
        <v>740</v>
      </c>
    </row>
    <row r="315" spans="1:11" ht="34">
      <c r="A315" s="563"/>
      <c r="B315" s="486"/>
      <c r="C315" s="486"/>
      <c r="D315" s="487" t="s">
        <v>723</v>
      </c>
      <c r="E315" s="487" t="s">
        <v>753</v>
      </c>
      <c r="F315" s="481" t="s">
        <v>747</v>
      </c>
      <c r="G315" s="484" t="str">
        <f>CONCATENATE("DN",放空管管径d4,"，A型")</f>
        <v>DN0，A型</v>
      </c>
      <c r="H315" s="489" t="s">
        <v>754</v>
      </c>
      <c r="I315" s="489" t="s">
        <v>749</v>
      </c>
      <c r="J315" s="487">
        <f>2*水泵运行数量</f>
        <v>8</v>
      </c>
      <c r="K315" s="490" t="s">
        <v>730</v>
      </c>
    </row>
    <row r="316" spans="1:11" ht="34">
      <c r="A316" s="563"/>
      <c r="B316" s="486"/>
      <c r="C316" s="486"/>
      <c r="D316" s="487" t="s">
        <v>723</v>
      </c>
      <c r="E316" s="487" t="s">
        <v>755</v>
      </c>
      <c r="F316" s="481" t="s">
        <v>747</v>
      </c>
      <c r="G316" s="484" t="str">
        <f>CONCATENATE("DN",排砂管管径d3,"，PN1.0MPa")</f>
        <v>DN0，PN1.0MPa</v>
      </c>
      <c r="H316" s="489" t="s">
        <v>756</v>
      </c>
      <c r="I316" s="489" t="s">
        <v>757</v>
      </c>
      <c r="J316" s="487">
        <f>4*水泵运行数量</f>
        <v>16</v>
      </c>
      <c r="K316" s="490" t="s">
        <v>740</v>
      </c>
    </row>
    <row r="317" spans="1:11" ht="34">
      <c r="A317" s="563"/>
      <c r="B317" s="486"/>
      <c r="C317" s="486"/>
      <c r="D317" s="487" t="s">
        <v>723</v>
      </c>
      <c r="E317" s="487" t="s">
        <v>755</v>
      </c>
      <c r="F317" s="481" t="s">
        <v>747</v>
      </c>
      <c r="G317" s="484" t="str">
        <f>CONCATENATE("DN",放空管管径d4,"，PN1.0MPa")</f>
        <v>DN0，PN1.0MPa</v>
      </c>
      <c r="H317" s="489" t="s">
        <v>756</v>
      </c>
      <c r="I317" s="489" t="s">
        <v>757</v>
      </c>
      <c r="J317" s="487">
        <f>1+2*水泵备用数量</f>
        <v>3</v>
      </c>
      <c r="K317" s="490" t="s">
        <v>730</v>
      </c>
    </row>
    <row r="318" spans="1:11" ht="34">
      <c r="A318" s="563"/>
      <c r="B318" s="486"/>
      <c r="C318" s="486"/>
      <c r="D318" s="487" t="s">
        <v>723</v>
      </c>
      <c r="E318" s="487" t="s">
        <v>755</v>
      </c>
      <c r="F318" s="481" t="s">
        <v>747</v>
      </c>
      <c r="G318" s="484" t="str">
        <f>CONCATENATE("DN",曝气干管管径d5,"，PN1.0MPa")</f>
        <v>DN0，PN1.0MPa</v>
      </c>
      <c r="H318" s="489" t="s">
        <v>756</v>
      </c>
      <c r="I318" s="489" t="s">
        <v>757</v>
      </c>
      <c r="J318" s="487" t="e">
        <f>4+J290*4</f>
        <v>#N/A</v>
      </c>
      <c r="K318" s="490" t="s">
        <v>741</v>
      </c>
    </row>
    <row r="319" spans="1:11" ht="34">
      <c r="A319" s="563"/>
      <c r="B319" s="486"/>
      <c r="C319" s="486"/>
      <c r="D319" s="487" t="s">
        <v>723</v>
      </c>
      <c r="E319" s="487" t="s">
        <v>755</v>
      </c>
      <c r="F319" s="481" t="s">
        <v>747</v>
      </c>
      <c r="G319" s="484" t="str">
        <f>CONCATENATE("DN",曝气支管管径d6,"，PN1.0MPa")</f>
        <v>DN0，PN1.0MPa</v>
      </c>
      <c r="H319" s="489" t="s">
        <v>756</v>
      </c>
      <c r="I319" s="489" t="s">
        <v>757</v>
      </c>
      <c r="J319" s="487" t="e">
        <f>1*曝气支管数量*水泵备用数量</f>
        <v>#N/A</v>
      </c>
      <c r="K319" s="490" t="s">
        <v>742</v>
      </c>
    </row>
    <row r="320" spans="1:11" ht="34">
      <c r="A320" s="563"/>
      <c r="B320" s="486"/>
      <c r="C320" s="486"/>
      <c r="D320" s="487" t="s">
        <v>723</v>
      </c>
      <c r="E320" s="487" t="s">
        <v>758</v>
      </c>
      <c r="F320" s="481" t="s">
        <v>747</v>
      </c>
      <c r="G320" s="484" t="str">
        <f>CONCATENATE("DN",曝气支管管径d6,"，PN1.0MPa")</f>
        <v>DN0，PN1.0MPa</v>
      </c>
      <c r="H320" s="489" t="s">
        <v>759</v>
      </c>
      <c r="I320" s="489" t="s">
        <v>757</v>
      </c>
      <c r="J320" s="487" t="e">
        <f>1*曝气支管数量*水泵备用数量</f>
        <v>#N/A</v>
      </c>
      <c r="K320" s="490" t="s">
        <v>742</v>
      </c>
    </row>
    <row r="321" spans="1:11" ht="34">
      <c r="A321" s="563"/>
      <c r="B321" s="486"/>
      <c r="C321" s="486"/>
      <c r="D321" s="487" t="s">
        <v>723</v>
      </c>
      <c r="E321" s="487" t="s">
        <v>760</v>
      </c>
      <c r="F321" s="481" t="s">
        <v>747</v>
      </c>
      <c r="G321" s="484" t="str">
        <f>CONCATENATE("DN",放空管管径d4,"，PN1.0MPa")</f>
        <v>DN0，PN1.0MPa</v>
      </c>
      <c r="H321" s="489" t="s">
        <v>748</v>
      </c>
      <c r="I321" s="489" t="s">
        <v>757</v>
      </c>
      <c r="J321" s="487">
        <f>水泵运行数量</f>
        <v>4</v>
      </c>
      <c r="K321" s="490" t="s">
        <v>761</v>
      </c>
    </row>
    <row r="322" spans="1:11" ht="34">
      <c r="A322" s="563"/>
      <c r="B322" s="486"/>
      <c r="C322" s="486"/>
      <c r="D322" s="487" t="s">
        <v>723</v>
      </c>
      <c r="E322" s="487" t="s">
        <v>760</v>
      </c>
      <c r="F322" s="481" t="s">
        <v>747</v>
      </c>
      <c r="G322" s="484" t="str">
        <f>CONCATENATE("DN",曝气干管管径d5,"，PN1.0MPa")</f>
        <v>DN0，PN1.0MPa</v>
      </c>
      <c r="H322" s="489" t="s">
        <v>762</v>
      </c>
      <c r="I322" s="489" t="s">
        <v>757</v>
      </c>
      <c r="J322" s="487">
        <f>水泵运行数量</f>
        <v>4</v>
      </c>
      <c r="K322" s="490" t="s">
        <v>741</v>
      </c>
    </row>
    <row r="323" spans="1:11" ht="34">
      <c r="A323" s="563"/>
      <c r="B323" s="486"/>
      <c r="C323" s="486"/>
      <c r="D323" s="487" t="s">
        <v>723</v>
      </c>
      <c r="E323" s="487" t="s">
        <v>763</v>
      </c>
      <c r="F323" s="481" t="s">
        <v>747</v>
      </c>
      <c r="G323" s="484" t="str">
        <f>CONCATENATE("DN",排渣管管径d2)</f>
        <v>DN0</v>
      </c>
      <c r="H323" s="489" t="s">
        <v>764</v>
      </c>
      <c r="I323" s="489" t="s">
        <v>749</v>
      </c>
      <c r="J323" s="487">
        <f>2*水泵运行数量</f>
        <v>8</v>
      </c>
      <c r="K323" s="490" t="s">
        <v>739</v>
      </c>
    </row>
    <row r="324" spans="1:11" ht="34">
      <c r="A324" s="563"/>
      <c r="B324" s="486"/>
      <c r="C324" s="486"/>
      <c r="D324" s="487" t="s">
        <v>723</v>
      </c>
      <c r="E324" s="487" t="s">
        <v>765</v>
      </c>
      <c r="F324" s="481" t="s">
        <v>747</v>
      </c>
      <c r="G324" s="484" t="str">
        <f>CONCATENATE("DN",放空管管径d4)</f>
        <v>DN0</v>
      </c>
      <c r="H324" s="489" t="s">
        <v>766</v>
      </c>
      <c r="I324" s="489" t="s">
        <v>749</v>
      </c>
      <c r="J324" s="487">
        <f>1*水泵运行数量</f>
        <v>4</v>
      </c>
      <c r="K324" s="490" t="s">
        <v>730</v>
      </c>
    </row>
    <row r="325" spans="1:11" ht="34">
      <c r="A325" s="563"/>
      <c r="B325" s="486"/>
      <c r="C325" s="486"/>
      <c r="D325" s="487" t="s">
        <v>723</v>
      </c>
      <c r="E325" s="487" t="s">
        <v>763</v>
      </c>
      <c r="F325" s="481" t="s">
        <v>747</v>
      </c>
      <c r="G325" s="484" t="str">
        <f>CONCATENATE("DN",曝气干管管径d5)</f>
        <v>DN0</v>
      </c>
      <c r="H325" s="489" t="s">
        <v>764</v>
      </c>
      <c r="I325" s="489" t="s">
        <v>749</v>
      </c>
      <c r="J325" s="487">
        <f>2*水泵运行数量</f>
        <v>8</v>
      </c>
      <c r="K325" s="490" t="s">
        <v>741</v>
      </c>
    </row>
    <row r="326" spans="1:11" ht="34">
      <c r="A326" s="563"/>
      <c r="B326" s="486"/>
      <c r="C326" s="486"/>
      <c r="D326" s="487" t="s">
        <v>723</v>
      </c>
      <c r="E326" s="487" t="s">
        <v>765</v>
      </c>
      <c r="F326" s="481" t="s">
        <v>747</v>
      </c>
      <c r="G326" s="484" t="str">
        <f>CONCATENATE("DN",曝气干管管径d5)</f>
        <v>DN0</v>
      </c>
      <c r="H326" s="489" t="s">
        <v>767</v>
      </c>
      <c r="I326" s="489" t="s">
        <v>749</v>
      </c>
      <c r="J326" s="487" t="e">
        <f>1*曝气支管数量*水泵备用数量</f>
        <v>#N/A</v>
      </c>
      <c r="K326" s="490" t="s">
        <v>741</v>
      </c>
    </row>
    <row r="327" spans="1:11" ht="34">
      <c r="A327" s="563"/>
      <c r="B327" s="486"/>
      <c r="C327" s="486"/>
      <c r="D327" s="487" t="s">
        <v>723</v>
      </c>
      <c r="E327" s="487" t="s">
        <v>768</v>
      </c>
      <c r="F327" s="481" t="s">
        <v>736</v>
      </c>
      <c r="G327" s="484" t="str">
        <f>CONCATENATE("DN",曝气支管管径d6)</f>
        <v>DN0</v>
      </c>
      <c r="H327" s="489" t="s">
        <v>769</v>
      </c>
      <c r="I327" s="489" t="s">
        <v>749</v>
      </c>
      <c r="J327" s="487" t="e">
        <f>2*曝气支管数量*水泵备用数量</f>
        <v>#N/A</v>
      </c>
      <c r="K327" s="490" t="s">
        <v>742</v>
      </c>
    </row>
    <row r="328" spans="1:11" ht="34">
      <c r="A328" s="563"/>
      <c r="B328" s="486"/>
      <c r="C328" s="486"/>
      <c r="D328" s="487" t="s">
        <v>723</v>
      </c>
      <c r="E328" s="487" t="s">
        <v>770</v>
      </c>
      <c r="F328" s="481" t="s">
        <v>747</v>
      </c>
      <c r="G328" s="484" t="str">
        <f>CONCATENATE("DN",排砂管管径d3)</f>
        <v>DN0</v>
      </c>
      <c r="H328" s="489" t="s">
        <v>771</v>
      </c>
      <c r="I328" s="489" t="s">
        <v>749</v>
      </c>
      <c r="J328" s="487">
        <f>1*水泵运行数量</f>
        <v>4</v>
      </c>
      <c r="K328" s="490" t="s">
        <v>740</v>
      </c>
    </row>
    <row r="329" spans="1:11" ht="34">
      <c r="A329" s="564"/>
      <c r="B329" s="486"/>
      <c r="C329" s="486"/>
      <c r="D329" s="487" t="s">
        <v>723</v>
      </c>
      <c r="E329" s="487" t="s">
        <v>772</v>
      </c>
      <c r="F329" s="481"/>
      <c r="G329" s="484" t="s">
        <v>773</v>
      </c>
      <c r="H329" s="489" t="s">
        <v>774</v>
      </c>
      <c r="I329" s="489" t="s">
        <v>775</v>
      </c>
      <c r="J329" s="487"/>
      <c r="K329" s="490" t="s">
        <v>776</v>
      </c>
    </row>
  </sheetData>
  <mergeCells count="17">
    <mergeCell ref="A173:K173"/>
    <mergeCell ref="A1:E1"/>
    <mergeCell ref="F1:K1"/>
    <mergeCell ref="A2:K2"/>
    <mergeCell ref="A12:K12"/>
    <mergeCell ref="I78:I79"/>
    <mergeCell ref="A109:K109"/>
    <mergeCell ref="A119:K119"/>
    <mergeCell ref="A129:K129"/>
    <mergeCell ref="A136:K136"/>
    <mergeCell ref="A144:K144"/>
    <mergeCell ref="A70:K70"/>
    <mergeCell ref="A197:K197"/>
    <mergeCell ref="A238:K238"/>
    <mergeCell ref="A240:A282"/>
    <mergeCell ref="A284:K284"/>
    <mergeCell ref="A286:A329"/>
  </mergeCells>
  <phoneticPr fontId="61" type="noConversion"/>
  <dataValidations count="2">
    <dataValidation type="whole" operator="greaterThanOrEqual" allowBlank="1" showInputMessage="1" showErrorMessage="1" errorTitle="请重新输入" error="规模30000m3/d，不建议采用曝气沉砂池" sqref="C4" xr:uid="{00000000-0002-0000-0000-000000000000}">
      <formula1>30000</formula1>
    </dataValidation>
    <dataValidation type="whole" allowBlank="1" showInputMessage="1" showErrorMessage="1" errorTitle="请重新输入" error="流量范围10000m3/d-200000m3/d" sqref="B4" xr:uid="{00000000-0002-0000-0000-000001000000}">
      <formula1>10000</formula1>
      <formula2>200000</formula2>
    </dataValidation>
  </dataValidations>
  <pageMargins left="0.7" right="0.7" top="0.75" bottom="0.75" header="0.3" footer="0.3"/>
  <pageSetup paperSize="9" scale="71" fitToHeight="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20D9BCF1-3CFE-4866-9B98-22EFA463C909}">
            <x14:iconSet iconSet="3Symbols2" custom="1">
              <x14:cfvo type="percent">
                <xm:f>0</xm:f>
              </x14:cfvo>
              <x14:cfvo type="num">
                <xm:f>$J$81</xm:f>
              </x14:cfvo>
              <x14:cfvo type="num" gte="0">
                <xm:f>$K$81</xm:f>
              </x14:cfvo>
              <x14:cfIcon iconSet="3Symbols" iconId="0"/>
              <x14:cfIcon iconSet="NoIcons" iconId="0"/>
              <x14:cfIcon iconSet="3Symbols" iconId="0"/>
            </x14:iconSet>
          </x14:cfRule>
          <xm:sqref>G81</xm:sqref>
        </x14:conditionalFormatting>
        <x14:conditionalFormatting xmlns:xm="http://schemas.microsoft.com/office/excel/2006/main">
          <x14:cfRule type="iconSet" priority="12" id="{FC32F4F6-058D-4F2E-B9B7-7E4B7252768A}">
            <x14:iconSet iconSet="3Symbols2" custom="1">
              <x14:cfvo type="percent">
                <xm:f>0</xm:f>
              </x14:cfvo>
              <x14:cfvo type="num">
                <xm:f>$J$112</xm:f>
              </x14:cfvo>
              <x14:cfvo type="num" gte="0">
                <xm:f>$K$112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G112</xm:sqref>
        </x14:conditionalFormatting>
        <x14:conditionalFormatting xmlns:xm="http://schemas.microsoft.com/office/excel/2006/main">
          <x14:cfRule type="iconSet" priority="11" id="{1C748EB1-04A9-4777-8EA8-C2DDD7C45E9A}">
            <x14:iconSet iconSet="3Symbols2" custom="1">
              <x14:cfvo type="percent">
                <xm:f>0</xm:f>
              </x14:cfvo>
              <x14:cfvo type="num">
                <xm:f>$J$175</xm:f>
              </x14:cfvo>
              <x14:cfvo type="num" gte="0">
                <xm:f>9999</xm:f>
              </x14:cfvo>
              <x14:cfIcon iconSet="3Symbols" iconId="0"/>
              <x14:cfIcon iconSet="NoIcons" iconId="0"/>
              <x14:cfIcon iconSet="NoIcons" iconId="0"/>
            </x14:iconSet>
          </x14:cfRule>
          <xm:sqref>G175</xm:sqref>
        </x14:conditionalFormatting>
        <x14:conditionalFormatting xmlns:xm="http://schemas.microsoft.com/office/excel/2006/main">
          <x14:cfRule type="iconSet" priority="10" id="{1CB53563-82D1-4647-81F3-F35CBE8B6BF0}">
            <x14:iconSet iconSet="3Symbols2" custom="1">
              <x14:cfvo type="percent">
                <xm:f>0</xm:f>
              </x14:cfvo>
              <x14:cfvo type="num">
                <xm:f>$J$177</xm:f>
              </x14:cfvo>
              <x14:cfvo type="num" gte="0">
                <xm:f>$K$177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G177:G179</xm:sqref>
        </x14:conditionalFormatting>
        <x14:conditionalFormatting xmlns:xm="http://schemas.microsoft.com/office/excel/2006/main">
          <x14:cfRule type="iconSet" priority="9" id="{C9B2BF85-F432-4221-A9A2-B2D0CB65FCF8}">
            <x14:iconSet iconSet="3Symbols2" custom="1">
              <x14:cfvo type="percent">
                <xm:f>0</xm:f>
              </x14:cfvo>
              <x14:cfvo type="num">
                <xm:f>$J$80</xm:f>
              </x14:cfvo>
              <x14:cfvo type="num" gte="0">
                <xm:f>9999</xm:f>
              </x14:cfvo>
              <x14:cfIcon iconSet="3Symbols" iconId="0"/>
              <x14:cfIcon iconSet="NoIcons" iconId="0"/>
              <x14:cfIcon iconSet="3Symbols" iconId="0"/>
            </x14:iconSet>
          </x14:cfRule>
          <xm:sqref>G80</xm:sqref>
        </x14:conditionalFormatting>
        <x14:conditionalFormatting xmlns:xm="http://schemas.microsoft.com/office/excel/2006/main">
          <x14:cfRule type="iconSet" priority="14" id="{6A28BDEE-5448-4271-8275-E95099FC749D}">
            <x14:iconSet iconSet="3Symbols2" custom="1">
              <x14:cfvo type="percent">
                <xm:f>0</xm:f>
              </x14:cfvo>
              <x14:cfvo type="num">
                <xm:f>$J$78</xm:f>
              </x14:cfvo>
              <x14:cfvo type="num" gte="0">
                <xm:f>$K$78</xm:f>
              </x14:cfvo>
              <x14:cfIcon iconSet="3Symbols" iconId="0"/>
              <x14:cfIcon iconSet="NoIcons" iconId="0"/>
              <x14:cfIcon iconSet="3Symbols" iconId="0"/>
            </x14:iconSet>
          </x14:cfRule>
          <xm:sqref>G78</xm:sqref>
        </x14:conditionalFormatting>
        <x14:conditionalFormatting xmlns:xm="http://schemas.microsoft.com/office/excel/2006/main">
          <x14:cfRule type="iconSet" priority="8" id="{0C393F32-0A8A-40BE-BEA7-A5696027980A}">
            <x14:iconSet iconSet="3Symbols2" custom="1">
              <x14:cfvo type="percent">
                <xm:f>0</xm:f>
              </x14:cfvo>
              <x14:cfvo type="num">
                <xm:f>$J$79</xm:f>
              </x14:cfvo>
              <x14:cfvo type="num" gte="0">
                <xm:f>$K$79</xm:f>
              </x14:cfvo>
              <x14:cfIcon iconSet="3Symbols" iconId="0"/>
              <x14:cfIcon iconSet="NoIcons" iconId="0"/>
              <x14:cfIcon iconSet="3Symbols" iconId="0"/>
            </x14:iconSet>
          </x14:cfRule>
          <xm:sqref>G79</xm:sqref>
        </x14:conditionalFormatting>
        <x14:conditionalFormatting xmlns:xm="http://schemas.microsoft.com/office/excel/2006/main">
          <x14:cfRule type="iconSet" priority="15" id="{D32D06DE-6FB4-4C34-8772-FF397CFFE478}">
            <x14:iconSet iconSet="3Symbols2" custom="1">
              <x14:cfvo type="percent">
                <xm:f>0</xm:f>
              </x14:cfvo>
              <x14:cfvo type="num">
                <xm:f>$J$82</xm:f>
              </x14:cfvo>
              <x14:cfvo type="num" gte="0">
                <xm:f>$K$82</xm:f>
              </x14:cfvo>
              <x14:cfIcon iconSet="3Symbols" iconId="0"/>
              <x14:cfIcon iconSet="NoIcons" iconId="0"/>
              <x14:cfIcon iconSet="3Symbols" iconId="0"/>
            </x14:iconSet>
          </x14:cfRule>
          <xm:sqref>G82:G83</xm:sqref>
        </x14:conditionalFormatting>
        <x14:conditionalFormatting xmlns:xm="http://schemas.microsoft.com/office/excel/2006/main">
          <x14:cfRule type="iconSet" priority="7" id="{71FBFFBB-94EC-4D22-B5D4-FDAC51AEFE6D}">
            <x14:iconSet iconSet="3Symbols2" custom="1">
              <x14:cfvo type="percent">
                <xm:f>0</xm:f>
              </x14:cfvo>
              <x14:cfvo type="num">
                <xm:f>$J$111</xm:f>
              </x14:cfvo>
              <x14:cfvo type="num" gte="0">
                <xm:f>9999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G111</xm:sqref>
        </x14:conditionalFormatting>
        <x14:conditionalFormatting xmlns:xm="http://schemas.microsoft.com/office/excel/2006/main">
          <x14:cfRule type="iconSet" priority="6" id="{56724363-4F52-4BBE-BD38-B23508E4212F}">
            <x14:iconSet iconSet="3Symbols2" custom="1">
              <x14:cfvo type="percent">
                <xm:f>0</xm:f>
              </x14:cfvo>
              <x14:cfvo type="num">
                <xm:f>$J$138</xm:f>
              </x14:cfvo>
              <x14:cfvo type="num" gte="0">
                <xm:f>$K$138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G138</xm:sqref>
        </x14:conditionalFormatting>
        <x14:conditionalFormatting xmlns:xm="http://schemas.microsoft.com/office/excel/2006/main">
          <x14:cfRule type="iconSet" priority="5" id="{699404C9-7E41-4ADE-A28C-072E248D7CB4}">
            <x14:iconSet iconSet="3Symbols2" custom="1">
              <x14:cfvo type="percent">
                <xm:f>0</xm:f>
              </x14:cfvo>
              <x14:cfvo type="num">
                <xm:f>$J$187</xm:f>
              </x14:cfvo>
              <x14:cfvo type="num" gte="0">
                <xm:f>$K$187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G187:G190</xm:sqref>
        </x14:conditionalFormatting>
        <x14:conditionalFormatting xmlns:xm="http://schemas.microsoft.com/office/excel/2006/main">
          <x14:cfRule type="iconSet" priority="4" id="{2F57BC54-9756-4B0B-96FF-717A3940E8EA}">
            <x14:iconSet iconSet="3Symbols2" custom="1">
              <x14:cfvo type="percent">
                <xm:f>0</xm:f>
              </x14:cfvo>
              <x14:cfvo type="num">
                <xm:f>$J$183</xm:f>
              </x14:cfvo>
              <x14:cfvo type="num" gte="0">
                <xm:f>9999</xm:f>
              </x14:cfvo>
              <x14:cfIcon iconSet="3Symbols" iconId="0"/>
              <x14:cfIcon iconSet="NoIcons" iconId="0"/>
              <x14:cfIcon iconSet="NoIcons" iconId="0"/>
            </x14:iconSet>
          </x14:cfRule>
          <xm:sqref>G183</xm:sqref>
        </x14:conditionalFormatting>
        <x14:conditionalFormatting xmlns:xm="http://schemas.microsoft.com/office/excel/2006/main">
          <x14:cfRule type="iconSet" priority="3" id="{75DA2C18-5E4A-48CC-8CB2-162D297B760A}">
            <x14:iconSet iconSet="3Symbols2" custom="1">
              <x14:cfvo type="percent">
                <xm:f>0</xm:f>
              </x14:cfvo>
              <x14:cfvo type="num">
                <xm:f>$J$187</xm:f>
              </x14:cfvo>
              <x14:cfvo type="num" gte="0">
                <xm:f>$K$187</xm:f>
              </x14:cfvo>
              <x14:cfIcon iconSet="3Symbols" iconId="0"/>
              <x14:cfIcon iconSet="NoIcons" iconId="0"/>
              <x14:cfIcon iconSet="3Symbols" iconId="0"/>
            </x14:iconSet>
          </x14:cfRule>
          <xm:sqref>G191:G195</xm:sqref>
        </x14:conditionalFormatting>
        <x14:conditionalFormatting xmlns:xm="http://schemas.microsoft.com/office/excel/2006/main">
          <x14:cfRule type="iconSet" priority="1" id="{65300E32-63A3-4B40-9B00-7B3A83B5C84B}">
            <x14:iconSet iconSet="3Symbols2" custom="1">
              <x14:cfvo type="percent">
                <xm:f>0</xm:f>
              </x14:cfvo>
              <x14:cfvo type="num">
                <xm:f>$J$78</xm:f>
              </x14:cfvo>
              <x14:cfvo type="num" gte="0">
                <xm:f>$K$78</xm:f>
              </x14:cfvo>
              <x14:cfIcon iconSet="3Symbols" iconId="0"/>
              <x14:cfIcon iconSet="NoIcons" iconId="0"/>
              <x14:cfIcon iconSet="3Symbols" iconId="0"/>
            </x14:iconSet>
          </x14:cfRule>
          <xm:sqref>G72:G77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47"/>
  <sheetViews>
    <sheetView workbookViewId="0">
      <pane xSplit="1" ySplit="2" topLeftCell="B35" activePane="bottomRight" state="frozen"/>
      <selection activeCell="B74" sqref="B74"/>
      <selection pane="topRight" activeCell="B74" sqref="B74"/>
      <selection pane="bottomLeft" activeCell="B74" sqref="B74"/>
      <selection pane="bottomRight" activeCell="D47" sqref="D47"/>
    </sheetView>
  </sheetViews>
  <sheetFormatPr baseColWidth="10" defaultColWidth="9" defaultRowHeight="17"/>
  <cols>
    <col min="1" max="1" width="23.33203125" style="503" bestFit="1" customWidth="1"/>
    <col min="2" max="2" width="8.6640625" style="494" bestFit="1" customWidth="1"/>
    <col min="3" max="3" width="18.6640625" style="503" bestFit="1" customWidth="1"/>
    <col min="4" max="4" width="18.6640625" style="503" customWidth="1"/>
    <col min="5" max="5" width="19.6640625" style="503" customWidth="1"/>
    <col min="6" max="6" width="18.6640625" style="503" bestFit="1" customWidth="1"/>
    <col min="7" max="7" width="18.6640625" style="503" customWidth="1"/>
    <col min="8" max="8" width="19.6640625" style="503" customWidth="1"/>
    <col min="9" max="9" width="18.6640625" style="503" bestFit="1" customWidth="1"/>
    <col min="10" max="10" width="18.6640625" style="503" customWidth="1"/>
    <col min="11" max="11" width="19.6640625" style="495" customWidth="1"/>
    <col min="12" max="12" width="18.6640625" style="495" bestFit="1" customWidth="1"/>
    <col min="13" max="13" width="18.6640625" style="495" customWidth="1"/>
    <col min="14" max="14" width="19.6640625" style="495" customWidth="1"/>
    <col min="15" max="15" width="18.6640625" style="495" bestFit="1" customWidth="1"/>
    <col min="16" max="16" width="18.6640625" style="495" customWidth="1"/>
    <col min="17" max="17" width="19.6640625" style="495" customWidth="1"/>
    <col min="18" max="18" width="18.6640625" style="495" bestFit="1" customWidth="1"/>
    <col min="19" max="19" width="18.6640625" style="495" customWidth="1"/>
    <col min="20" max="20" width="19.6640625" style="495" customWidth="1"/>
    <col min="21" max="21" width="18.6640625" style="495" bestFit="1" customWidth="1"/>
    <col min="22" max="22" width="18.6640625" style="495" customWidth="1"/>
    <col min="23" max="23" width="19.6640625" style="495" customWidth="1"/>
    <col min="24" max="24" width="18.6640625" style="495" bestFit="1" customWidth="1"/>
    <col min="25" max="25" width="18.6640625" style="495" customWidth="1"/>
    <col min="26" max="26" width="19.6640625" style="495" customWidth="1"/>
    <col min="27" max="27" width="18.6640625" style="495" bestFit="1" customWidth="1"/>
    <col min="28" max="28" width="18.6640625" style="495" customWidth="1"/>
    <col min="29" max="29" width="19.6640625" style="495" customWidth="1"/>
    <col min="30" max="30" width="19.6640625" style="495" bestFit="1" customWidth="1"/>
    <col min="31" max="31" width="19.6640625" style="495" customWidth="1"/>
    <col min="32" max="32" width="21" style="495" customWidth="1"/>
    <col min="33" max="33" width="19.6640625" style="495" bestFit="1" customWidth="1"/>
    <col min="34" max="34" width="19.6640625" style="495" customWidth="1"/>
    <col min="35" max="35" width="21" style="495" customWidth="1"/>
    <col min="36" max="36" width="19.6640625" style="495" bestFit="1" customWidth="1"/>
    <col min="37" max="37" width="19.6640625" style="495" customWidth="1"/>
    <col min="38" max="38" width="21" style="495" customWidth="1"/>
    <col min="39" max="39" width="19.6640625" style="495" bestFit="1" customWidth="1"/>
    <col min="40" max="40" width="19.6640625" style="495" customWidth="1"/>
    <col min="41" max="41" width="21" style="495" customWidth="1"/>
    <col min="42" max="42" width="19.6640625" style="495" bestFit="1" customWidth="1"/>
    <col min="43" max="43" width="19.6640625" style="495" customWidth="1"/>
    <col min="44" max="44" width="21" style="495" customWidth="1"/>
    <col min="45" max="45" width="19.6640625" style="495" bestFit="1" customWidth="1"/>
    <col min="46" max="46" width="19.6640625" style="495" customWidth="1"/>
    <col min="47" max="47" width="21" style="495" customWidth="1"/>
    <col min="48" max="48" width="19.6640625" style="495" bestFit="1" customWidth="1"/>
    <col min="49" max="49" width="19.6640625" style="495" customWidth="1"/>
    <col min="50" max="50" width="21" style="495" customWidth="1"/>
    <col min="51" max="51" width="19.6640625" style="495" bestFit="1" customWidth="1"/>
    <col min="52" max="52" width="19.6640625" style="495" customWidth="1"/>
    <col min="53" max="53" width="21" style="495" customWidth="1"/>
    <col min="54" max="54" width="19.6640625" style="495" bestFit="1" customWidth="1"/>
    <col min="55" max="55" width="19.6640625" style="495" customWidth="1"/>
    <col min="56" max="56" width="21" style="495" customWidth="1"/>
    <col min="57" max="57" width="19.6640625" style="495" bestFit="1" customWidth="1"/>
    <col min="58" max="58" width="19.6640625" style="495" customWidth="1"/>
    <col min="59" max="59" width="21" style="495" customWidth="1"/>
    <col min="60" max="60" width="19.6640625" style="495" bestFit="1" customWidth="1"/>
    <col min="61" max="61" width="19.6640625" style="495" customWidth="1"/>
    <col min="62" max="62" width="21" style="495" customWidth="1"/>
    <col min="63" max="16384" width="9" style="495"/>
  </cols>
  <sheetData>
    <row r="1" spans="1:62" ht="18">
      <c r="A1" s="492" t="s">
        <v>777</v>
      </c>
      <c r="B1" s="515"/>
      <c r="C1" s="493">
        <v>10000</v>
      </c>
      <c r="D1" s="493">
        <v>10000</v>
      </c>
      <c r="E1" s="493">
        <v>10000</v>
      </c>
      <c r="F1" s="493">
        <v>20000</v>
      </c>
      <c r="G1" s="493">
        <v>20000</v>
      </c>
      <c r="H1" s="493">
        <v>20000</v>
      </c>
      <c r="I1" s="493">
        <v>30000</v>
      </c>
      <c r="J1" s="493">
        <v>30000</v>
      </c>
      <c r="K1" s="493">
        <v>30000</v>
      </c>
      <c r="L1" s="493">
        <v>40000</v>
      </c>
      <c r="M1" s="493">
        <v>40000</v>
      </c>
      <c r="N1" s="493">
        <v>40000</v>
      </c>
      <c r="O1" s="493">
        <v>50000</v>
      </c>
      <c r="P1" s="493">
        <v>50000</v>
      </c>
      <c r="Q1" s="493">
        <v>50000</v>
      </c>
      <c r="R1" s="493">
        <v>60000</v>
      </c>
      <c r="S1" s="493">
        <v>60000</v>
      </c>
      <c r="T1" s="493">
        <v>60000</v>
      </c>
      <c r="U1" s="493">
        <v>70000</v>
      </c>
      <c r="V1" s="493">
        <v>70000</v>
      </c>
      <c r="W1" s="493">
        <v>70000</v>
      </c>
      <c r="X1" s="493">
        <v>80000</v>
      </c>
      <c r="Y1" s="493">
        <v>80000</v>
      </c>
      <c r="Z1" s="493">
        <v>80000</v>
      </c>
      <c r="AA1" s="493">
        <v>90000</v>
      </c>
      <c r="AB1" s="493">
        <v>90000</v>
      </c>
      <c r="AC1" s="493">
        <v>90000</v>
      </c>
      <c r="AD1" s="493">
        <v>100000</v>
      </c>
      <c r="AE1" s="493">
        <v>100000</v>
      </c>
      <c r="AF1" s="493">
        <v>100000</v>
      </c>
      <c r="AG1" s="493">
        <v>110000</v>
      </c>
      <c r="AH1" s="493">
        <v>110000</v>
      </c>
      <c r="AI1" s="493">
        <v>110000</v>
      </c>
      <c r="AJ1" s="493">
        <v>120000</v>
      </c>
      <c r="AK1" s="493">
        <v>120000</v>
      </c>
      <c r="AL1" s="493">
        <v>120000</v>
      </c>
      <c r="AM1" s="493">
        <v>130000</v>
      </c>
      <c r="AN1" s="493">
        <v>130000</v>
      </c>
      <c r="AO1" s="493">
        <v>130000</v>
      </c>
      <c r="AP1" s="493">
        <v>140000</v>
      </c>
      <c r="AQ1" s="493">
        <v>140000</v>
      </c>
      <c r="AR1" s="493">
        <v>140000</v>
      </c>
      <c r="AS1" s="493">
        <v>150000</v>
      </c>
      <c r="AT1" s="493">
        <v>150000</v>
      </c>
      <c r="AU1" s="493">
        <v>150000</v>
      </c>
      <c r="AV1" s="493">
        <v>160000</v>
      </c>
      <c r="AW1" s="493">
        <v>160000</v>
      </c>
      <c r="AX1" s="493">
        <v>160000</v>
      </c>
      <c r="AY1" s="493">
        <v>170000</v>
      </c>
      <c r="AZ1" s="493">
        <v>170000</v>
      </c>
      <c r="BA1" s="493">
        <v>170000</v>
      </c>
      <c r="BB1" s="493">
        <v>180000</v>
      </c>
      <c r="BC1" s="493">
        <v>180000</v>
      </c>
      <c r="BD1" s="493">
        <v>180000</v>
      </c>
      <c r="BE1" s="493">
        <v>190000</v>
      </c>
      <c r="BF1" s="493">
        <v>190000</v>
      </c>
      <c r="BG1" s="493">
        <v>190000</v>
      </c>
      <c r="BH1" s="493">
        <v>200000</v>
      </c>
      <c r="BI1" s="493">
        <v>200000</v>
      </c>
      <c r="BJ1" s="493">
        <v>200000</v>
      </c>
    </row>
    <row r="2" spans="1:62" ht="18">
      <c r="A2" s="492" t="s">
        <v>778</v>
      </c>
      <c r="B2" s="515"/>
      <c r="C2" s="493" t="str">
        <f>_xlfn.CONCAT("BE-JSTSB-QW-",C1/10000,"-",C3)</f>
        <v>BE-JSTSB-QW-1-5</v>
      </c>
      <c r="D2" s="493" t="str">
        <f t="shared" ref="D2:BJ2" si="0">_xlfn.CONCAT("BE-JSTSB-QW-",D1/10000,"-",D3)</f>
        <v>BE-JSTSB-QW-1-8</v>
      </c>
      <c r="E2" s="493" t="str">
        <f t="shared" si="0"/>
        <v>BE-JSTSB-QW-1-12</v>
      </c>
      <c r="F2" s="493" t="str">
        <f t="shared" si="0"/>
        <v>BE-JSTSB-QW-2-5</v>
      </c>
      <c r="G2" s="493" t="str">
        <f t="shared" si="0"/>
        <v>BE-JSTSB-QW-2-8</v>
      </c>
      <c r="H2" s="493" t="str">
        <f t="shared" si="0"/>
        <v>BE-JSTSB-QW-2-12</v>
      </c>
      <c r="I2" s="493" t="str">
        <f t="shared" si="0"/>
        <v>BE-JSTSB-QW-3-5</v>
      </c>
      <c r="J2" s="493" t="str">
        <f t="shared" si="0"/>
        <v>BE-JSTSB-QW-3-8</v>
      </c>
      <c r="K2" s="493" t="str">
        <f t="shared" si="0"/>
        <v>BE-JSTSB-QW-3-12</v>
      </c>
      <c r="L2" s="493" t="str">
        <f t="shared" si="0"/>
        <v>BE-JSTSB-QW-4-5</v>
      </c>
      <c r="M2" s="493" t="str">
        <f t="shared" si="0"/>
        <v>BE-JSTSB-QW-4-8</v>
      </c>
      <c r="N2" s="493" t="str">
        <f t="shared" si="0"/>
        <v>BE-JSTSB-QW-4-12</v>
      </c>
      <c r="O2" s="493" t="str">
        <f t="shared" si="0"/>
        <v>BE-JSTSB-QW-5-5</v>
      </c>
      <c r="P2" s="493" t="str">
        <f t="shared" si="0"/>
        <v>BE-JSTSB-QW-5-8</v>
      </c>
      <c r="Q2" s="493" t="str">
        <f t="shared" si="0"/>
        <v>BE-JSTSB-QW-5-12</v>
      </c>
      <c r="R2" s="493" t="str">
        <f t="shared" si="0"/>
        <v>BE-JSTSB-QW-6-5</v>
      </c>
      <c r="S2" s="493" t="str">
        <f t="shared" si="0"/>
        <v>BE-JSTSB-QW-6-8</v>
      </c>
      <c r="T2" s="493" t="str">
        <f t="shared" si="0"/>
        <v>BE-JSTSB-QW-6-12</v>
      </c>
      <c r="U2" s="493" t="str">
        <f t="shared" si="0"/>
        <v>BE-JSTSB-QW-7-5</v>
      </c>
      <c r="V2" s="493" t="str">
        <f t="shared" si="0"/>
        <v>BE-JSTSB-QW-7-8</v>
      </c>
      <c r="W2" s="493" t="str">
        <f t="shared" si="0"/>
        <v>BE-JSTSB-QW-7-12</v>
      </c>
      <c r="X2" s="493" t="str">
        <f t="shared" si="0"/>
        <v>BE-JSTSB-QW-8-5</v>
      </c>
      <c r="Y2" s="493" t="str">
        <f t="shared" si="0"/>
        <v>BE-JSTSB-QW-8-8</v>
      </c>
      <c r="Z2" s="493" t="str">
        <f t="shared" si="0"/>
        <v>BE-JSTSB-QW-8-12</v>
      </c>
      <c r="AA2" s="493" t="str">
        <f t="shared" si="0"/>
        <v>BE-JSTSB-QW-9-5</v>
      </c>
      <c r="AB2" s="493" t="str">
        <f t="shared" si="0"/>
        <v>BE-JSTSB-QW-9-8</v>
      </c>
      <c r="AC2" s="493" t="str">
        <f t="shared" si="0"/>
        <v>BE-JSTSB-QW-9-12</v>
      </c>
      <c r="AD2" s="493" t="str">
        <f t="shared" si="0"/>
        <v>BE-JSTSB-QW-10-5</v>
      </c>
      <c r="AE2" s="493" t="str">
        <f t="shared" si="0"/>
        <v>BE-JSTSB-QW-10-8</v>
      </c>
      <c r="AF2" s="493" t="str">
        <f t="shared" si="0"/>
        <v>BE-JSTSB-QW-10-12</v>
      </c>
      <c r="AG2" s="493" t="str">
        <f t="shared" si="0"/>
        <v>BE-JSTSB-QW-11-5</v>
      </c>
      <c r="AH2" s="493" t="str">
        <f t="shared" si="0"/>
        <v>BE-JSTSB-QW-11-8</v>
      </c>
      <c r="AI2" s="493" t="str">
        <f t="shared" si="0"/>
        <v>BE-JSTSB-QW-11-12</v>
      </c>
      <c r="AJ2" s="493" t="str">
        <f t="shared" si="0"/>
        <v>BE-JSTSB-QW-12-5</v>
      </c>
      <c r="AK2" s="493" t="str">
        <f t="shared" si="0"/>
        <v>BE-JSTSB-QW-12-8</v>
      </c>
      <c r="AL2" s="493" t="str">
        <f t="shared" si="0"/>
        <v>BE-JSTSB-QW-12-12</v>
      </c>
      <c r="AM2" s="493" t="str">
        <f t="shared" si="0"/>
        <v>BE-JSTSB-QW-13-5</v>
      </c>
      <c r="AN2" s="493" t="str">
        <f t="shared" si="0"/>
        <v>BE-JSTSB-QW-13-8</v>
      </c>
      <c r="AO2" s="493" t="str">
        <f t="shared" si="0"/>
        <v>BE-JSTSB-QW-13-12</v>
      </c>
      <c r="AP2" s="493" t="str">
        <f t="shared" si="0"/>
        <v>BE-JSTSB-QW-14-5</v>
      </c>
      <c r="AQ2" s="493" t="str">
        <f t="shared" si="0"/>
        <v>BE-JSTSB-QW-14-8</v>
      </c>
      <c r="AR2" s="493" t="str">
        <f t="shared" si="0"/>
        <v>BE-JSTSB-QW-14-12</v>
      </c>
      <c r="AS2" s="493" t="str">
        <f t="shared" si="0"/>
        <v>BE-JSTSB-QW-15-5</v>
      </c>
      <c r="AT2" s="493" t="str">
        <f t="shared" si="0"/>
        <v>BE-JSTSB-QW-15-8</v>
      </c>
      <c r="AU2" s="493" t="str">
        <f t="shared" si="0"/>
        <v>BE-JSTSB-QW-15-12</v>
      </c>
      <c r="AV2" s="493" t="str">
        <f t="shared" si="0"/>
        <v>BE-JSTSB-QW-16-5</v>
      </c>
      <c r="AW2" s="493" t="str">
        <f t="shared" si="0"/>
        <v>BE-JSTSB-QW-16-8</v>
      </c>
      <c r="AX2" s="493" t="str">
        <f t="shared" si="0"/>
        <v>BE-JSTSB-QW-16-12</v>
      </c>
      <c r="AY2" s="493" t="str">
        <f t="shared" si="0"/>
        <v>BE-JSTSB-QW-17-5</v>
      </c>
      <c r="AZ2" s="493" t="str">
        <f t="shared" si="0"/>
        <v>BE-JSTSB-QW-17-8</v>
      </c>
      <c r="BA2" s="493" t="str">
        <f t="shared" si="0"/>
        <v>BE-JSTSB-QW-17-12</v>
      </c>
      <c r="BB2" s="493" t="str">
        <f t="shared" si="0"/>
        <v>BE-JSTSB-QW-18-5</v>
      </c>
      <c r="BC2" s="493" t="str">
        <f t="shared" si="0"/>
        <v>BE-JSTSB-QW-18-8</v>
      </c>
      <c r="BD2" s="493" t="str">
        <f t="shared" si="0"/>
        <v>BE-JSTSB-QW-18-12</v>
      </c>
      <c r="BE2" s="493" t="str">
        <f t="shared" si="0"/>
        <v>BE-JSTSB-QW-19-5</v>
      </c>
      <c r="BF2" s="493" t="str">
        <f t="shared" si="0"/>
        <v>BE-JSTSB-QW-19-8</v>
      </c>
      <c r="BG2" s="493" t="str">
        <f t="shared" si="0"/>
        <v>BE-JSTSB-QW-19-12</v>
      </c>
      <c r="BH2" s="493" t="str">
        <f t="shared" si="0"/>
        <v>BE-JSTSB-QW-20-5</v>
      </c>
      <c r="BI2" s="493" t="str">
        <f t="shared" si="0"/>
        <v>BE-JSTSB-QW-20-8</v>
      </c>
      <c r="BJ2" s="493" t="str">
        <f t="shared" si="0"/>
        <v>BE-JSTSB-QW-20-12</v>
      </c>
    </row>
    <row r="3" spans="1:62" ht="18">
      <c r="A3" s="492" t="s">
        <v>150</v>
      </c>
      <c r="B3" s="515" t="s">
        <v>143</v>
      </c>
      <c r="C3" s="550">
        <v>5</v>
      </c>
      <c r="D3" s="550">
        <v>8</v>
      </c>
      <c r="E3" s="550">
        <v>12</v>
      </c>
      <c r="F3" s="550">
        <v>5</v>
      </c>
      <c r="G3" s="550">
        <v>8</v>
      </c>
      <c r="H3" s="550">
        <v>12</v>
      </c>
      <c r="I3" s="550">
        <v>5</v>
      </c>
      <c r="J3" s="550">
        <v>8</v>
      </c>
      <c r="K3" s="550">
        <v>12</v>
      </c>
      <c r="L3" s="550">
        <v>5</v>
      </c>
      <c r="M3" s="550">
        <v>8</v>
      </c>
      <c r="N3" s="550">
        <v>12</v>
      </c>
      <c r="O3" s="550">
        <v>5</v>
      </c>
      <c r="P3" s="550">
        <v>8</v>
      </c>
      <c r="Q3" s="550">
        <v>12</v>
      </c>
      <c r="R3" s="550">
        <v>5</v>
      </c>
      <c r="S3" s="550">
        <v>8</v>
      </c>
      <c r="T3" s="550">
        <v>12</v>
      </c>
      <c r="U3" s="550">
        <v>5</v>
      </c>
      <c r="V3" s="550">
        <v>8</v>
      </c>
      <c r="W3" s="550">
        <v>12</v>
      </c>
      <c r="X3" s="550">
        <v>5</v>
      </c>
      <c r="Y3" s="550">
        <v>8</v>
      </c>
      <c r="Z3" s="550">
        <v>12</v>
      </c>
      <c r="AA3" s="550">
        <v>5</v>
      </c>
      <c r="AB3" s="550">
        <v>8</v>
      </c>
      <c r="AC3" s="550">
        <v>12</v>
      </c>
      <c r="AD3" s="550">
        <v>5</v>
      </c>
      <c r="AE3" s="550">
        <v>8</v>
      </c>
      <c r="AF3" s="550">
        <v>12</v>
      </c>
      <c r="AG3" s="550">
        <v>5</v>
      </c>
      <c r="AH3" s="550">
        <v>8</v>
      </c>
      <c r="AI3" s="550">
        <v>12</v>
      </c>
      <c r="AJ3" s="550">
        <v>5</v>
      </c>
      <c r="AK3" s="550">
        <v>8</v>
      </c>
      <c r="AL3" s="550">
        <v>12</v>
      </c>
      <c r="AM3" s="550">
        <v>5</v>
      </c>
      <c r="AN3" s="550">
        <v>8</v>
      </c>
      <c r="AO3" s="550">
        <v>12</v>
      </c>
      <c r="AP3" s="550">
        <v>5</v>
      </c>
      <c r="AQ3" s="550">
        <v>8</v>
      </c>
      <c r="AR3" s="550">
        <v>12</v>
      </c>
      <c r="AS3" s="550">
        <v>5</v>
      </c>
      <c r="AT3" s="550">
        <v>8</v>
      </c>
      <c r="AU3" s="550">
        <v>12</v>
      </c>
      <c r="AV3" s="550">
        <v>5</v>
      </c>
      <c r="AW3" s="550">
        <v>8</v>
      </c>
      <c r="AX3" s="550">
        <v>12</v>
      </c>
      <c r="AY3" s="550">
        <v>5</v>
      </c>
      <c r="AZ3" s="550">
        <v>8</v>
      </c>
      <c r="BA3" s="550">
        <v>12</v>
      </c>
      <c r="BB3" s="550">
        <v>5</v>
      </c>
      <c r="BC3" s="550">
        <v>8</v>
      </c>
      <c r="BD3" s="550">
        <v>12</v>
      </c>
      <c r="BE3" s="550">
        <v>5</v>
      </c>
      <c r="BF3" s="550">
        <v>8</v>
      </c>
      <c r="BG3" s="550">
        <v>12</v>
      </c>
      <c r="BH3" s="550">
        <v>5</v>
      </c>
      <c r="BI3" s="550">
        <v>8</v>
      </c>
      <c r="BJ3" s="550">
        <v>12</v>
      </c>
    </row>
    <row r="4" spans="1:62" ht="18">
      <c r="A4" s="492" t="s">
        <v>835</v>
      </c>
      <c r="B4" s="515" t="s">
        <v>653</v>
      </c>
      <c r="C4" s="550">
        <v>3</v>
      </c>
      <c r="D4" s="550">
        <v>3</v>
      </c>
      <c r="E4" s="550">
        <v>3</v>
      </c>
      <c r="F4" s="550">
        <v>3</v>
      </c>
      <c r="G4" s="550">
        <v>3</v>
      </c>
      <c r="H4" s="550">
        <v>3</v>
      </c>
      <c r="I4" s="550">
        <v>3</v>
      </c>
      <c r="J4" s="550">
        <v>3</v>
      </c>
      <c r="K4" s="550">
        <v>3</v>
      </c>
      <c r="L4" s="550">
        <v>3</v>
      </c>
      <c r="M4" s="550">
        <v>3</v>
      </c>
      <c r="N4" s="550">
        <v>3</v>
      </c>
      <c r="O4" s="550">
        <v>3</v>
      </c>
      <c r="P4" s="550">
        <v>3</v>
      </c>
      <c r="Q4" s="550">
        <v>3</v>
      </c>
      <c r="R4" s="550">
        <v>4</v>
      </c>
      <c r="S4" s="550">
        <v>4</v>
      </c>
      <c r="T4" s="550">
        <v>4</v>
      </c>
      <c r="U4" s="550">
        <v>4</v>
      </c>
      <c r="V4" s="550">
        <v>4</v>
      </c>
      <c r="W4" s="550">
        <v>4</v>
      </c>
      <c r="X4" s="550">
        <v>4</v>
      </c>
      <c r="Y4" s="550">
        <v>4</v>
      </c>
      <c r="Z4" s="550">
        <v>4</v>
      </c>
      <c r="AA4" s="550">
        <v>4</v>
      </c>
      <c r="AB4" s="550">
        <v>4</v>
      </c>
      <c r="AC4" s="550">
        <v>4</v>
      </c>
      <c r="AD4" s="550">
        <v>4</v>
      </c>
      <c r="AE4" s="550">
        <v>4</v>
      </c>
      <c r="AF4" s="550">
        <v>4</v>
      </c>
      <c r="AG4" s="550">
        <v>5</v>
      </c>
      <c r="AH4" s="550">
        <v>5</v>
      </c>
      <c r="AI4" s="550">
        <v>5</v>
      </c>
      <c r="AJ4" s="550">
        <v>5</v>
      </c>
      <c r="AK4" s="550">
        <v>5</v>
      </c>
      <c r="AL4" s="550">
        <v>5</v>
      </c>
      <c r="AM4" s="550">
        <v>5</v>
      </c>
      <c r="AN4" s="550">
        <v>5</v>
      </c>
      <c r="AO4" s="550">
        <v>5</v>
      </c>
      <c r="AP4" s="550">
        <v>5</v>
      </c>
      <c r="AQ4" s="550">
        <v>5</v>
      </c>
      <c r="AR4" s="550">
        <v>5</v>
      </c>
      <c r="AS4" s="550">
        <v>5</v>
      </c>
      <c r="AT4" s="550">
        <v>5</v>
      </c>
      <c r="AU4" s="550">
        <v>5</v>
      </c>
      <c r="AV4" s="550">
        <v>5</v>
      </c>
      <c r="AW4" s="550">
        <v>5</v>
      </c>
      <c r="AX4" s="550">
        <v>5</v>
      </c>
      <c r="AY4" s="550">
        <v>5</v>
      </c>
      <c r="AZ4" s="550">
        <v>5</v>
      </c>
      <c r="BA4" s="550">
        <v>5</v>
      </c>
      <c r="BB4" s="550">
        <v>5</v>
      </c>
      <c r="BC4" s="550">
        <v>5</v>
      </c>
      <c r="BD4" s="550">
        <v>5</v>
      </c>
      <c r="BE4" s="550">
        <v>5</v>
      </c>
      <c r="BF4" s="550">
        <v>5</v>
      </c>
      <c r="BG4" s="550">
        <v>5</v>
      </c>
      <c r="BH4" s="550">
        <v>5</v>
      </c>
      <c r="BI4" s="550">
        <v>5</v>
      </c>
      <c r="BJ4" s="550">
        <v>5</v>
      </c>
    </row>
    <row r="5" spans="1:62" ht="18">
      <c r="A5" s="492" t="s">
        <v>836</v>
      </c>
      <c r="B5" s="515" t="s">
        <v>653</v>
      </c>
      <c r="C5" s="550">
        <v>1</v>
      </c>
      <c r="D5" s="550">
        <v>1</v>
      </c>
      <c r="E5" s="550">
        <v>1</v>
      </c>
      <c r="F5" s="550">
        <v>1</v>
      </c>
      <c r="G5" s="550">
        <v>1</v>
      </c>
      <c r="H5" s="550">
        <v>1</v>
      </c>
      <c r="I5" s="550">
        <v>1</v>
      </c>
      <c r="J5" s="550">
        <v>1</v>
      </c>
      <c r="K5" s="550">
        <v>1</v>
      </c>
      <c r="L5" s="550">
        <v>1</v>
      </c>
      <c r="M5" s="550">
        <v>1</v>
      </c>
      <c r="N5" s="550">
        <v>1</v>
      </c>
      <c r="O5" s="550">
        <v>1</v>
      </c>
      <c r="P5" s="550">
        <v>1</v>
      </c>
      <c r="Q5" s="550">
        <v>1</v>
      </c>
      <c r="R5" s="550">
        <v>1</v>
      </c>
      <c r="S5" s="550">
        <v>1</v>
      </c>
      <c r="T5" s="550">
        <v>1</v>
      </c>
      <c r="U5" s="550">
        <v>1</v>
      </c>
      <c r="V5" s="550">
        <v>1</v>
      </c>
      <c r="W5" s="550">
        <v>1</v>
      </c>
      <c r="X5" s="550">
        <v>1</v>
      </c>
      <c r="Y5" s="550">
        <v>1</v>
      </c>
      <c r="Z5" s="550">
        <v>1</v>
      </c>
      <c r="AA5" s="550">
        <v>1</v>
      </c>
      <c r="AB5" s="550">
        <v>1</v>
      </c>
      <c r="AC5" s="550">
        <v>1</v>
      </c>
      <c r="AD5" s="550">
        <v>1</v>
      </c>
      <c r="AE5" s="550">
        <v>1</v>
      </c>
      <c r="AF5" s="550">
        <v>1</v>
      </c>
      <c r="AG5" s="550">
        <v>2</v>
      </c>
      <c r="AH5" s="550">
        <v>2</v>
      </c>
      <c r="AI5" s="550">
        <v>2</v>
      </c>
      <c r="AJ5" s="550">
        <v>2</v>
      </c>
      <c r="AK5" s="550">
        <v>2</v>
      </c>
      <c r="AL5" s="550">
        <v>2</v>
      </c>
      <c r="AM5" s="550">
        <v>2</v>
      </c>
      <c r="AN5" s="550">
        <v>2</v>
      </c>
      <c r="AO5" s="550">
        <v>2</v>
      </c>
      <c r="AP5" s="550">
        <v>2</v>
      </c>
      <c r="AQ5" s="550">
        <v>2</v>
      </c>
      <c r="AR5" s="550">
        <v>2</v>
      </c>
      <c r="AS5" s="550">
        <v>2</v>
      </c>
      <c r="AT5" s="550">
        <v>2</v>
      </c>
      <c r="AU5" s="550">
        <v>2</v>
      </c>
      <c r="AV5" s="550">
        <v>2</v>
      </c>
      <c r="AW5" s="550">
        <v>2</v>
      </c>
      <c r="AX5" s="550">
        <v>2</v>
      </c>
      <c r="AY5" s="550">
        <v>2</v>
      </c>
      <c r="AZ5" s="550">
        <v>2</v>
      </c>
      <c r="BA5" s="550">
        <v>2</v>
      </c>
      <c r="BB5" s="550">
        <v>2</v>
      </c>
      <c r="BC5" s="550">
        <v>2</v>
      </c>
      <c r="BD5" s="550">
        <v>2</v>
      </c>
      <c r="BE5" s="550">
        <v>2</v>
      </c>
      <c r="BF5" s="550">
        <v>2</v>
      </c>
      <c r="BG5" s="550">
        <v>2</v>
      </c>
      <c r="BH5" s="550">
        <v>2</v>
      </c>
      <c r="BI5" s="550">
        <v>2</v>
      </c>
      <c r="BJ5" s="550">
        <v>2</v>
      </c>
    </row>
    <row r="6" spans="1:62" ht="18">
      <c r="A6" s="492" t="s">
        <v>842</v>
      </c>
      <c r="B6" s="515" t="s">
        <v>840</v>
      </c>
      <c r="C6" s="550">
        <v>7.5</v>
      </c>
      <c r="D6" s="550">
        <v>7.5</v>
      </c>
      <c r="E6" s="550">
        <v>13.5</v>
      </c>
      <c r="F6" s="550">
        <v>9</v>
      </c>
      <c r="G6" s="550">
        <v>15</v>
      </c>
      <c r="H6" s="550">
        <v>22</v>
      </c>
      <c r="I6" s="550">
        <v>15</v>
      </c>
      <c r="J6" s="550">
        <v>22</v>
      </c>
      <c r="K6" s="550">
        <v>45</v>
      </c>
      <c r="L6" s="550">
        <v>22</v>
      </c>
      <c r="M6" s="550">
        <v>37</v>
      </c>
      <c r="N6" s="550">
        <v>37</v>
      </c>
      <c r="O6" s="550">
        <v>22</v>
      </c>
      <c r="P6" s="550">
        <v>37</v>
      </c>
      <c r="Q6" s="550">
        <v>45</v>
      </c>
      <c r="R6" s="550">
        <v>22</v>
      </c>
      <c r="S6" s="550">
        <v>30</v>
      </c>
      <c r="T6" s="550">
        <v>45</v>
      </c>
      <c r="U6" s="550">
        <v>30</v>
      </c>
      <c r="V6" s="550">
        <v>45</v>
      </c>
      <c r="W6" s="550">
        <v>55</v>
      </c>
      <c r="X6" s="550">
        <v>37</v>
      </c>
      <c r="Y6" s="550">
        <v>45</v>
      </c>
      <c r="Z6" s="550">
        <v>62</v>
      </c>
      <c r="AA6" s="550">
        <v>40</v>
      </c>
      <c r="AB6" s="550">
        <v>60</v>
      </c>
      <c r="AC6" s="550">
        <v>75</v>
      </c>
      <c r="AD6" s="550">
        <v>30</v>
      </c>
      <c r="AE6" s="550">
        <v>60</v>
      </c>
      <c r="AF6" s="550">
        <v>90</v>
      </c>
      <c r="AG6" s="550">
        <v>37</v>
      </c>
      <c r="AH6" s="550">
        <v>40</v>
      </c>
      <c r="AI6" s="550">
        <v>90</v>
      </c>
      <c r="AJ6" s="550">
        <v>30</v>
      </c>
      <c r="AK6" s="550">
        <v>60</v>
      </c>
      <c r="AL6" s="550">
        <v>90</v>
      </c>
      <c r="AM6" s="550">
        <v>40</v>
      </c>
      <c r="AN6" s="550">
        <v>90</v>
      </c>
      <c r="AO6" s="550">
        <v>90</v>
      </c>
      <c r="AP6" s="550">
        <v>40</v>
      </c>
      <c r="AQ6" s="550">
        <v>60</v>
      </c>
      <c r="AR6" s="550">
        <v>90</v>
      </c>
      <c r="AS6" s="550">
        <v>60</v>
      </c>
      <c r="AT6" s="550">
        <v>90</v>
      </c>
      <c r="AU6" s="550">
        <v>90</v>
      </c>
      <c r="AV6" s="550">
        <v>60</v>
      </c>
      <c r="AW6" s="550">
        <v>90</v>
      </c>
      <c r="AX6" s="550">
        <v>90</v>
      </c>
      <c r="AY6" s="550">
        <v>60</v>
      </c>
      <c r="AZ6" s="550">
        <v>90</v>
      </c>
      <c r="BA6" s="550">
        <v>125</v>
      </c>
      <c r="BB6" s="550">
        <v>40</v>
      </c>
      <c r="BC6" s="550">
        <v>90</v>
      </c>
      <c r="BD6" s="550">
        <v>125</v>
      </c>
      <c r="BE6" s="550">
        <v>60</v>
      </c>
      <c r="BF6" s="550">
        <v>80</v>
      </c>
      <c r="BG6" s="550">
        <v>110</v>
      </c>
      <c r="BH6" s="550">
        <v>60</v>
      </c>
      <c r="BI6" s="550">
        <v>80</v>
      </c>
      <c r="BJ6" s="550">
        <v>110</v>
      </c>
    </row>
    <row r="7" spans="1:62" ht="18">
      <c r="A7" s="492" t="s">
        <v>843</v>
      </c>
      <c r="B7" s="515" t="s">
        <v>537</v>
      </c>
      <c r="C7" s="550">
        <v>0.5</v>
      </c>
      <c r="D7" s="550">
        <v>0.5</v>
      </c>
      <c r="E7" s="550">
        <v>0.5</v>
      </c>
      <c r="F7" s="550">
        <v>0.6</v>
      </c>
      <c r="G7" s="550">
        <v>0.6</v>
      </c>
      <c r="H7" s="550">
        <v>0.6</v>
      </c>
      <c r="I7" s="550">
        <v>0.7</v>
      </c>
      <c r="J7" s="550">
        <v>0.7</v>
      </c>
      <c r="K7" s="550">
        <v>0.7</v>
      </c>
      <c r="L7" s="550">
        <v>0.8</v>
      </c>
      <c r="M7" s="550">
        <v>0.8</v>
      </c>
      <c r="N7" s="550">
        <v>0.8</v>
      </c>
      <c r="O7" s="550">
        <v>0.9</v>
      </c>
      <c r="P7" s="550">
        <v>0.9</v>
      </c>
      <c r="Q7" s="550">
        <v>0.9</v>
      </c>
      <c r="R7" s="550">
        <v>1</v>
      </c>
      <c r="S7" s="550">
        <v>1</v>
      </c>
      <c r="T7" s="550">
        <v>1</v>
      </c>
      <c r="U7" s="550">
        <v>1</v>
      </c>
      <c r="V7" s="550">
        <v>1</v>
      </c>
      <c r="W7" s="550">
        <v>1</v>
      </c>
      <c r="X7" s="550">
        <v>1.1000000000000001</v>
      </c>
      <c r="Y7" s="550">
        <v>1.1000000000000001</v>
      </c>
      <c r="Z7" s="550">
        <v>1.1000000000000001</v>
      </c>
      <c r="AA7" s="550">
        <v>1.2</v>
      </c>
      <c r="AB7" s="550">
        <v>1.2</v>
      </c>
      <c r="AC7" s="550">
        <v>1.2</v>
      </c>
      <c r="AD7" s="550">
        <v>1.2</v>
      </c>
      <c r="AE7" s="550">
        <v>1.2</v>
      </c>
      <c r="AF7" s="550">
        <v>1.2</v>
      </c>
      <c r="AG7" s="550">
        <v>1.3</v>
      </c>
      <c r="AH7" s="550">
        <v>1.3</v>
      </c>
      <c r="AI7" s="550">
        <v>1.3</v>
      </c>
      <c r="AJ7" s="550">
        <v>1.4</v>
      </c>
      <c r="AK7" s="550">
        <v>1.4</v>
      </c>
      <c r="AL7" s="550">
        <v>1.4</v>
      </c>
      <c r="AM7" s="550">
        <v>1.4</v>
      </c>
      <c r="AN7" s="550">
        <v>1.4</v>
      </c>
      <c r="AO7" s="550">
        <v>1.4</v>
      </c>
      <c r="AP7" s="550">
        <v>1.5</v>
      </c>
      <c r="AQ7" s="550">
        <v>1.5</v>
      </c>
      <c r="AR7" s="550">
        <v>1.5</v>
      </c>
      <c r="AS7" s="550">
        <v>1.5</v>
      </c>
      <c r="AT7" s="550">
        <v>1.5</v>
      </c>
      <c r="AU7" s="550">
        <v>1.5</v>
      </c>
      <c r="AV7" s="550">
        <v>1.6</v>
      </c>
      <c r="AW7" s="550">
        <v>1.6</v>
      </c>
      <c r="AX7" s="550">
        <v>1.6</v>
      </c>
      <c r="AY7" s="550">
        <v>1.6</v>
      </c>
      <c r="AZ7" s="550">
        <v>1.6</v>
      </c>
      <c r="BA7" s="550">
        <v>1.6</v>
      </c>
      <c r="BB7" s="550">
        <v>1.7</v>
      </c>
      <c r="BC7" s="550">
        <v>1.7</v>
      </c>
      <c r="BD7" s="550">
        <v>1.7</v>
      </c>
      <c r="BE7" s="550">
        <v>1.7</v>
      </c>
      <c r="BF7" s="550">
        <v>1.7</v>
      </c>
      <c r="BG7" s="550">
        <v>1.7</v>
      </c>
      <c r="BH7" s="550">
        <v>1.7</v>
      </c>
      <c r="BI7" s="550">
        <v>1.7</v>
      </c>
      <c r="BJ7" s="550">
        <v>1.7</v>
      </c>
    </row>
    <row r="8" spans="1:62" s="497" customFormat="1" ht="18">
      <c r="A8" s="496" t="s">
        <v>844</v>
      </c>
      <c r="B8" s="516" t="s">
        <v>537</v>
      </c>
      <c r="C8" s="550">
        <v>0.5</v>
      </c>
      <c r="D8" s="550">
        <v>0.5</v>
      </c>
      <c r="E8" s="550">
        <v>0.5</v>
      </c>
      <c r="F8" s="550">
        <v>0.6</v>
      </c>
      <c r="G8" s="550">
        <v>0.6</v>
      </c>
      <c r="H8" s="550">
        <v>0.6</v>
      </c>
      <c r="I8" s="550">
        <v>0.7</v>
      </c>
      <c r="J8" s="550">
        <v>0.7</v>
      </c>
      <c r="K8" s="550">
        <v>0.7</v>
      </c>
      <c r="L8" s="550">
        <v>0.8</v>
      </c>
      <c r="M8" s="550">
        <v>0.8</v>
      </c>
      <c r="N8" s="550">
        <v>0.8</v>
      </c>
      <c r="O8" s="550">
        <v>0.9</v>
      </c>
      <c r="P8" s="550">
        <v>0.9</v>
      </c>
      <c r="Q8" s="550">
        <v>0.9</v>
      </c>
      <c r="R8" s="550">
        <v>1</v>
      </c>
      <c r="S8" s="550">
        <v>1</v>
      </c>
      <c r="T8" s="550">
        <v>1</v>
      </c>
      <c r="U8" s="550">
        <v>1</v>
      </c>
      <c r="V8" s="550">
        <v>1</v>
      </c>
      <c r="W8" s="550">
        <v>1</v>
      </c>
      <c r="X8" s="550">
        <v>1.1000000000000001</v>
      </c>
      <c r="Y8" s="550">
        <v>1.1000000000000001</v>
      </c>
      <c r="Z8" s="550">
        <v>1.1000000000000001</v>
      </c>
      <c r="AA8" s="550">
        <v>1.2</v>
      </c>
      <c r="AB8" s="550">
        <v>1.2</v>
      </c>
      <c r="AC8" s="550">
        <v>1.2</v>
      </c>
      <c r="AD8" s="550">
        <v>1.2</v>
      </c>
      <c r="AE8" s="550">
        <v>1.2</v>
      </c>
      <c r="AF8" s="550">
        <v>1.2</v>
      </c>
      <c r="AG8" s="550">
        <v>1.3</v>
      </c>
      <c r="AH8" s="550">
        <v>1.3</v>
      </c>
      <c r="AI8" s="550">
        <v>1.3</v>
      </c>
      <c r="AJ8" s="550">
        <v>1.4</v>
      </c>
      <c r="AK8" s="550">
        <v>1.4</v>
      </c>
      <c r="AL8" s="550">
        <v>1.4</v>
      </c>
      <c r="AM8" s="550">
        <v>1.4</v>
      </c>
      <c r="AN8" s="550">
        <v>1.4</v>
      </c>
      <c r="AO8" s="550">
        <v>1.4</v>
      </c>
      <c r="AP8" s="550">
        <v>1.5</v>
      </c>
      <c r="AQ8" s="550">
        <v>1.5</v>
      </c>
      <c r="AR8" s="550">
        <v>1.5</v>
      </c>
      <c r="AS8" s="550">
        <v>1.5</v>
      </c>
      <c r="AT8" s="550">
        <v>1.5</v>
      </c>
      <c r="AU8" s="550">
        <v>1.5</v>
      </c>
      <c r="AV8" s="550">
        <v>1.6</v>
      </c>
      <c r="AW8" s="550">
        <v>1.6</v>
      </c>
      <c r="AX8" s="550">
        <v>1.6</v>
      </c>
      <c r="AY8" s="550">
        <v>1.6</v>
      </c>
      <c r="AZ8" s="550">
        <v>1.6</v>
      </c>
      <c r="BA8" s="550">
        <v>1.6</v>
      </c>
      <c r="BB8" s="550">
        <v>1.7</v>
      </c>
      <c r="BC8" s="550">
        <v>1.7</v>
      </c>
      <c r="BD8" s="550">
        <v>1.7</v>
      </c>
      <c r="BE8" s="550">
        <v>1.7</v>
      </c>
      <c r="BF8" s="550">
        <v>1.7</v>
      </c>
      <c r="BG8" s="550">
        <v>1.7</v>
      </c>
      <c r="BH8" s="550">
        <v>1.7</v>
      </c>
      <c r="BI8" s="550">
        <v>1.7</v>
      </c>
      <c r="BJ8" s="550">
        <v>1.7</v>
      </c>
    </row>
    <row r="9" spans="1:62" s="497" customFormat="1" ht="18">
      <c r="A9" s="496" t="s">
        <v>884</v>
      </c>
      <c r="B9" s="516" t="s">
        <v>142</v>
      </c>
      <c r="C9" s="550">
        <v>4</v>
      </c>
      <c r="D9" s="550">
        <v>4</v>
      </c>
      <c r="E9" s="550">
        <v>4</v>
      </c>
      <c r="F9" s="550">
        <v>4</v>
      </c>
      <c r="G9" s="550">
        <v>4</v>
      </c>
      <c r="H9" s="550">
        <v>4</v>
      </c>
      <c r="I9" s="550">
        <v>6</v>
      </c>
      <c r="J9" s="550">
        <v>6</v>
      </c>
      <c r="K9" s="550">
        <v>6</v>
      </c>
      <c r="L9" s="550">
        <v>6</v>
      </c>
      <c r="M9" s="550">
        <v>6</v>
      </c>
      <c r="N9" s="550">
        <v>6</v>
      </c>
      <c r="O9" s="550">
        <v>6</v>
      </c>
      <c r="P9" s="550">
        <v>6</v>
      </c>
      <c r="Q9" s="550">
        <v>6</v>
      </c>
      <c r="R9" s="550">
        <v>6</v>
      </c>
      <c r="S9" s="550">
        <v>6</v>
      </c>
      <c r="T9" s="550">
        <v>6</v>
      </c>
      <c r="U9" s="550">
        <v>6</v>
      </c>
      <c r="V9" s="550">
        <v>6</v>
      </c>
      <c r="W9" s="550">
        <v>6</v>
      </c>
      <c r="X9" s="550">
        <v>6</v>
      </c>
      <c r="Y9" s="550">
        <v>6</v>
      </c>
      <c r="Z9" s="550">
        <v>6</v>
      </c>
      <c r="AA9" s="550">
        <v>6</v>
      </c>
      <c r="AB9" s="550">
        <v>6</v>
      </c>
      <c r="AC9" s="550">
        <v>6</v>
      </c>
      <c r="AD9" s="550">
        <v>6</v>
      </c>
      <c r="AE9" s="550">
        <v>6</v>
      </c>
      <c r="AF9" s="550">
        <v>6</v>
      </c>
      <c r="AG9" s="550">
        <v>6</v>
      </c>
      <c r="AH9" s="550">
        <v>6</v>
      </c>
      <c r="AI9" s="550">
        <v>6</v>
      </c>
      <c r="AJ9" s="550">
        <v>6</v>
      </c>
      <c r="AK9" s="550">
        <v>6</v>
      </c>
      <c r="AL9" s="550">
        <v>6</v>
      </c>
      <c r="AM9" s="550">
        <v>6</v>
      </c>
      <c r="AN9" s="550">
        <v>6</v>
      </c>
      <c r="AO9" s="550">
        <v>6</v>
      </c>
      <c r="AP9" s="550">
        <v>6</v>
      </c>
      <c r="AQ9" s="550">
        <v>6</v>
      </c>
      <c r="AR9" s="550">
        <v>6</v>
      </c>
      <c r="AS9" s="550">
        <v>6</v>
      </c>
      <c r="AT9" s="550">
        <v>6</v>
      </c>
      <c r="AU9" s="550">
        <v>6</v>
      </c>
      <c r="AV9" s="550">
        <v>6</v>
      </c>
      <c r="AW9" s="550">
        <v>6</v>
      </c>
      <c r="AX9" s="550">
        <v>6</v>
      </c>
      <c r="AY9" s="550">
        <v>6</v>
      </c>
      <c r="AZ9" s="550">
        <v>6</v>
      </c>
      <c r="BA9" s="550">
        <v>6</v>
      </c>
      <c r="BB9" s="550">
        <v>6</v>
      </c>
      <c r="BC9" s="550">
        <v>6</v>
      </c>
      <c r="BD9" s="550">
        <v>6</v>
      </c>
      <c r="BE9" s="550">
        <v>6</v>
      </c>
      <c r="BF9" s="550">
        <v>6</v>
      </c>
      <c r="BG9" s="550">
        <v>6</v>
      </c>
      <c r="BH9" s="550">
        <v>6</v>
      </c>
      <c r="BI9" s="550">
        <v>6</v>
      </c>
      <c r="BJ9" s="550">
        <v>6</v>
      </c>
    </row>
    <row r="10" spans="1:62" s="497" customFormat="1" ht="18">
      <c r="A10" s="496" t="s">
        <v>887</v>
      </c>
      <c r="B10" s="516" t="s">
        <v>143</v>
      </c>
      <c r="C10" s="550">
        <v>1.2</v>
      </c>
      <c r="D10" s="550">
        <v>1.2</v>
      </c>
      <c r="E10" s="550">
        <v>1.2</v>
      </c>
      <c r="F10" s="550">
        <v>1.2</v>
      </c>
      <c r="G10" s="550">
        <v>1.2</v>
      </c>
      <c r="H10" s="550">
        <v>1.2</v>
      </c>
      <c r="I10" s="550">
        <v>1.2</v>
      </c>
      <c r="J10" s="550">
        <v>1.2</v>
      </c>
      <c r="K10" s="550">
        <v>1.2</v>
      </c>
      <c r="L10" s="550">
        <v>1.2</v>
      </c>
      <c r="M10" s="550">
        <v>1.2</v>
      </c>
      <c r="N10" s="550">
        <v>1.2</v>
      </c>
      <c r="O10" s="550">
        <v>1.2</v>
      </c>
      <c r="P10" s="550">
        <v>1.2</v>
      </c>
      <c r="Q10" s="550">
        <v>1.2</v>
      </c>
      <c r="R10" s="550">
        <v>1.2</v>
      </c>
      <c r="S10" s="550">
        <v>1.2</v>
      </c>
      <c r="T10" s="550">
        <v>1.2</v>
      </c>
      <c r="U10" s="550">
        <v>1.2</v>
      </c>
      <c r="V10" s="550">
        <v>1.2</v>
      </c>
      <c r="W10" s="550">
        <v>1.2</v>
      </c>
      <c r="X10" s="550">
        <v>1.2</v>
      </c>
      <c r="Y10" s="550">
        <v>1.2</v>
      </c>
      <c r="Z10" s="550">
        <v>1.2</v>
      </c>
      <c r="AA10" s="550">
        <v>1.2</v>
      </c>
      <c r="AB10" s="550">
        <v>1.2</v>
      </c>
      <c r="AC10" s="550">
        <v>1.2</v>
      </c>
      <c r="AD10" s="550">
        <v>1.2</v>
      </c>
      <c r="AE10" s="550">
        <v>1.2</v>
      </c>
      <c r="AF10" s="550">
        <v>1.2</v>
      </c>
      <c r="AG10" s="550">
        <v>1.2</v>
      </c>
      <c r="AH10" s="550">
        <v>1.2</v>
      </c>
      <c r="AI10" s="550">
        <v>1.2</v>
      </c>
      <c r="AJ10" s="550">
        <v>1.2</v>
      </c>
      <c r="AK10" s="550">
        <v>1.2</v>
      </c>
      <c r="AL10" s="550">
        <v>1.2</v>
      </c>
      <c r="AM10" s="550">
        <v>1.2</v>
      </c>
      <c r="AN10" s="550">
        <v>1.2</v>
      </c>
      <c r="AO10" s="550">
        <v>1.2</v>
      </c>
      <c r="AP10" s="550">
        <v>1.2</v>
      </c>
      <c r="AQ10" s="550">
        <v>1.2</v>
      </c>
      <c r="AR10" s="550">
        <v>1.2</v>
      </c>
      <c r="AS10" s="550">
        <v>1.2</v>
      </c>
      <c r="AT10" s="550">
        <v>1.2</v>
      </c>
      <c r="AU10" s="550">
        <v>1.2</v>
      </c>
      <c r="AV10" s="550">
        <v>1.2</v>
      </c>
      <c r="AW10" s="550">
        <v>1.2</v>
      </c>
      <c r="AX10" s="550">
        <v>1.2</v>
      </c>
      <c r="AY10" s="550">
        <v>1.2</v>
      </c>
      <c r="AZ10" s="550">
        <v>1.2</v>
      </c>
      <c r="BA10" s="550">
        <v>1.2</v>
      </c>
      <c r="BB10" s="550">
        <v>1.2</v>
      </c>
      <c r="BC10" s="550">
        <v>1.2</v>
      </c>
      <c r="BD10" s="550">
        <v>1.2</v>
      </c>
      <c r="BE10" s="550">
        <v>1.2</v>
      </c>
      <c r="BF10" s="550">
        <v>1.2</v>
      </c>
      <c r="BG10" s="550">
        <v>1.2</v>
      </c>
      <c r="BH10" s="550">
        <v>1.2</v>
      </c>
      <c r="BI10" s="550">
        <v>1.2</v>
      </c>
      <c r="BJ10" s="550">
        <v>1.2</v>
      </c>
    </row>
    <row r="11" spans="1:62" s="497" customFormat="1" ht="18">
      <c r="A11" s="496" t="s">
        <v>888</v>
      </c>
      <c r="B11" s="516" t="s">
        <v>143</v>
      </c>
      <c r="C11" s="550">
        <v>1.6</v>
      </c>
      <c r="D11" s="550">
        <v>1.6</v>
      </c>
      <c r="E11" s="550">
        <v>1.6</v>
      </c>
      <c r="F11" s="550">
        <v>1.8</v>
      </c>
      <c r="G11" s="550">
        <v>1.8</v>
      </c>
      <c r="H11" s="550">
        <v>1.8</v>
      </c>
      <c r="I11" s="550">
        <v>2</v>
      </c>
      <c r="J11" s="550">
        <v>2</v>
      </c>
      <c r="K11" s="550">
        <v>2</v>
      </c>
      <c r="L11" s="550">
        <v>2</v>
      </c>
      <c r="M11" s="550">
        <v>2</v>
      </c>
      <c r="N11" s="550">
        <v>2</v>
      </c>
      <c r="O11" s="550">
        <v>2</v>
      </c>
      <c r="P11" s="550">
        <v>2</v>
      </c>
      <c r="Q11" s="550">
        <v>2</v>
      </c>
      <c r="R11" s="550">
        <v>2</v>
      </c>
      <c r="S11" s="550">
        <v>2</v>
      </c>
      <c r="T11" s="550">
        <v>2</v>
      </c>
      <c r="U11" s="550">
        <v>2</v>
      </c>
      <c r="V11" s="550">
        <v>2</v>
      </c>
      <c r="W11" s="550">
        <v>2</v>
      </c>
      <c r="X11" s="550">
        <v>2.5</v>
      </c>
      <c r="Y11" s="550">
        <v>2.5</v>
      </c>
      <c r="Z11" s="550">
        <v>2.5</v>
      </c>
      <c r="AA11" s="550">
        <v>2.5</v>
      </c>
      <c r="AB11" s="550">
        <v>2.5</v>
      </c>
      <c r="AC11" s="550">
        <v>2.5</v>
      </c>
      <c r="AD11" s="550">
        <v>2.8</v>
      </c>
      <c r="AE11" s="550">
        <v>2.8</v>
      </c>
      <c r="AF11" s="550">
        <v>2.8</v>
      </c>
      <c r="AG11" s="550">
        <v>2.8</v>
      </c>
      <c r="AH11" s="550">
        <v>2.8</v>
      </c>
      <c r="AI11" s="550">
        <v>2.8</v>
      </c>
      <c r="AJ11" s="550">
        <v>2.8</v>
      </c>
      <c r="AK11" s="550">
        <v>2.8</v>
      </c>
      <c r="AL11" s="550">
        <v>2.8</v>
      </c>
      <c r="AM11" s="550">
        <v>2.8</v>
      </c>
      <c r="AN11" s="550">
        <v>2.8</v>
      </c>
      <c r="AO11" s="550">
        <v>2.8</v>
      </c>
      <c r="AP11" s="550">
        <v>2.8</v>
      </c>
      <c r="AQ11" s="550">
        <v>2.8</v>
      </c>
      <c r="AR11" s="550">
        <v>2.8</v>
      </c>
      <c r="AS11" s="550">
        <v>2.8</v>
      </c>
      <c r="AT11" s="550">
        <v>2.8</v>
      </c>
      <c r="AU11" s="550">
        <v>2.8</v>
      </c>
      <c r="AV11" s="550">
        <v>3</v>
      </c>
      <c r="AW11" s="550">
        <v>3</v>
      </c>
      <c r="AX11" s="550">
        <v>3</v>
      </c>
      <c r="AY11" s="550">
        <v>3</v>
      </c>
      <c r="AZ11" s="550">
        <v>3</v>
      </c>
      <c r="BA11" s="550">
        <v>3</v>
      </c>
      <c r="BB11" s="550">
        <v>3</v>
      </c>
      <c r="BC11" s="550">
        <v>3</v>
      </c>
      <c r="BD11" s="550">
        <v>3</v>
      </c>
      <c r="BE11" s="550">
        <v>3</v>
      </c>
      <c r="BF11" s="550">
        <v>3</v>
      </c>
      <c r="BG11" s="550">
        <v>3</v>
      </c>
      <c r="BH11" s="550">
        <v>3</v>
      </c>
      <c r="BI11" s="550">
        <v>3</v>
      </c>
      <c r="BJ11" s="550">
        <v>3</v>
      </c>
    </row>
    <row r="12" spans="1:62" s="497" customFormat="1" ht="18">
      <c r="A12" s="496" t="s">
        <v>889</v>
      </c>
      <c r="B12" s="516" t="s">
        <v>143</v>
      </c>
      <c r="C12" s="550">
        <v>0.3</v>
      </c>
      <c r="D12" s="550">
        <v>0.3</v>
      </c>
      <c r="E12" s="550">
        <v>0.3</v>
      </c>
      <c r="F12" s="550">
        <v>0.3</v>
      </c>
      <c r="G12" s="550">
        <v>0.3</v>
      </c>
      <c r="H12" s="550">
        <v>0.3</v>
      </c>
      <c r="I12" s="550">
        <v>0.3</v>
      </c>
      <c r="J12" s="550">
        <v>0.3</v>
      </c>
      <c r="K12" s="550">
        <v>0.3</v>
      </c>
      <c r="L12" s="550">
        <v>0.3</v>
      </c>
      <c r="M12" s="550">
        <v>0.3</v>
      </c>
      <c r="N12" s="550">
        <v>0.3</v>
      </c>
      <c r="O12" s="550">
        <v>0.3</v>
      </c>
      <c r="P12" s="550">
        <v>0.3</v>
      </c>
      <c r="Q12" s="550">
        <v>0.3</v>
      </c>
      <c r="R12" s="550">
        <v>0.3</v>
      </c>
      <c r="S12" s="550">
        <v>0.3</v>
      </c>
      <c r="T12" s="550">
        <v>0.3</v>
      </c>
      <c r="U12" s="550">
        <v>0.3</v>
      </c>
      <c r="V12" s="550">
        <v>0.3</v>
      </c>
      <c r="W12" s="550">
        <v>0.3</v>
      </c>
      <c r="X12" s="550">
        <v>0.3</v>
      </c>
      <c r="Y12" s="550">
        <v>0.3</v>
      </c>
      <c r="Z12" s="550">
        <v>0.3</v>
      </c>
      <c r="AA12" s="550">
        <v>0.3</v>
      </c>
      <c r="AB12" s="550">
        <v>0.3</v>
      </c>
      <c r="AC12" s="550">
        <v>0.3</v>
      </c>
      <c r="AD12" s="550">
        <v>0.3</v>
      </c>
      <c r="AE12" s="550">
        <v>0.3</v>
      </c>
      <c r="AF12" s="550">
        <v>0.3</v>
      </c>
      <c r="AG12" s="550">
        <v>0.3</v>
      </c>
      <c r="AH12" s="550">
        <v>0.3</v>
      </c>
      <c r="AI12" s="550">
        <v>0.3</v>
      </c>
      <c r="AJ12" s="550">
        <v>0.3</v>
      </c>
      <c r="AK12" s="550">
        <v>0.3</v>
      </c>
      <c r="AL12" s="550">
        <v>0.3</v>
      </c>
      <c r="AM12" s="550">
        <v>0.3</v>
      </c>
      <c r="AN12" s="550">
        <v>0.3</v>
      </c>
      <c r="AO12" s="550">
        <v>0.3</v>
      </c>
      <c r="AP12" s="550">
        <v>0.3</v>
      </c>
      <c r="AQ12" s="550">
        <v>0.3</v>
      </c>
      <c r="AR12" s="550">
        <v>0.3</v>
      </c>
      <c r="AS12" s="550">
        <v>0.3</v>
      </c>
      <c r="AT12" s="550">
        <v>0.3</v>
      </c>
      <c r="AU12" s="550">
        <v>0.3</v>
      </c>
      <c r="AV12" s="550">
        <v>0.3</v>
      </c>
      <c r="AW12" s="550">
        <v>0.3</v>
      </c>
      <c r="AX12" s="550">
        <v>0.3</v>
      </c>
      <c r="AY12" s="550">
        <v>0.3</v>
      </c>
      <c r="AZ12" s="550">
        <v>0.3</v>
      </c>
      <c r="BA12" s="550">
        <v>0.3</v>
      </c>
      <c r="BB12" s="550">
        <v>0.3</v>
      </c>
      <c r="BC12" s="550">
        <v>0.3</v>
      </c>
      <c r="BD12" s="550">
        <v>0.3</v>
      </c>
      <c r="BE12" s="550">
        <v>0.3</v>
      </c>
      <c r="BF12" s="550">
        <v>0.3</v>
      </c>
      <c r="BG12" s="550">
        <v>0.3</v>
      </c>
      <c r="BH12" s="550">
        <v>0.3</v>
      </c>
      <c r="BI12" s="550">
        <v>0.3</v>
      </c>
      <c r="BJ12" s="550">
        <v>0.3</v>
      </c>
    </row>
    <row r="13" spans="1:62" s="497" customFormat="1" ht="18">
      <c r="A13" s="496" t="s">
        <v>909</v>
      </c>
      <c r="B13" s="516" t="s">
        <v>143</v>
      </c>
      <c r="C13" s="550">
        <v>13.5</v>
      </c>
      <c r="D13" s="550">
        <v>13.5</v>
      </c>
      <c r="E13" s="550">
        <v>13.5</v>
      </c>
      <c r="F13" s="550">
        <v>14.4</v>
      </c>
      <c r="G13" s="550">
        <v>14.4</v>
      </c>
      <c r="H13" s="550">
        <v>14.4</v>
      </c>
      <c r="I13" s="550">
        <v>13.5</v>
      </c>
      <c r="J13" s="550">
        <v>13.5</v>
      </c>
      <c r="K13" s="550">
        <v>13.5</v>
      </c>
      <c r="L13" s="550">
        <v>15.3</v>
      </c>
      <c r="M13" s="550">
        <v>15.3</v>
      </c>
      <c r="N13" s="550">
        <v>15.3</v>
      </c>
      <c r="O13" s="550">
        <v>16.2</v>
      </c>
      <c r="P13" s="550">
        <v>16.2</v>
      </c>
      <c r="Q13" s="550">
        <v>16.2</v>
      </c>
      <c r="R13" s="550">
        <v>15.3</v>
      </c>
      <c r="S13" s="550">
        <v>15.3</v>
      </c>
      <c r="T13" s="550">
        <v>15.3</v>
      </c>
      <c r="U13" s="550">
        <v>16</v>
      </c>
      <c r="V13" s="550">
        <v>16</v>
      </c>
      <c r="W13" s="550">
        <v>16</v>
      </c>
      <c r="X13" s="550">
        <v>16.5</v>
      </c>
      <c r="Y13" s="550">
        <v>16.5</v>
      </c>
      <c r="Z13" s="550">
        <v>16.5</v>
      </c>
      <c r="AA13" s="550">
        <v>17.3</v>
      </c>
      <c r="AB13" s="550">
        <v>17.3</v>
      </c>
      <c r="AC13" s="550">
        <v>17.3</v>
      </c>
      <c r="AD13" s="550">
        <v>18.8</v>
      </c>
      <c r="AE13" s="550">
        <v>18.8</v>
      </c>
      <c r="AF13" s="550">
        <v>18.8</v>
      </c>
      <c r="AG13" s="550">
        <v>17.3</v>
      </c>
      <c r="AH13" s="550">
        <v>17.3</v>
      </c>
      <c r="AI13" s="550">
        <v>17.3</v>
      </c>
      <c r="AJ13" s="550">
        <v>18</v>
      </c>
      <c r="AK13" s="550">
        <v>18</v>
      </c>
      <c r="AL13" s="550">
        <v>18</v>
      </c>
      <c r="AM13" s="550">
        <v>18.8</v>
      </c>
      <c r="AN13" s="550">
        <v>18.8</v>
      </c>
      <c r="AO13" s="550">
        <v>18.8</v>
      </c>
      <c r="AP13" s="550">
        <v>19.5</v>
      </c>
      <c r="AQ13" s="550">
        <v>19.5</v>
      </c>
      <c r="AR13" s="550">
        <v>19.5</v>
      </c>
      <c r="AS13" s="550">
        <v>20.3</v>
      </c>
      <c r="AT13" s="550">
        <v>20.3</v>
      </c>
      <c r="AU13" s="550">
        <v>20.3</v>
      </c>
      <c r="AV13" s="550">
        <v>20.3</v>
      </c>
      <c r="AW13" s="550">
        <v>20.3</v>
      </c>
      <c r="AX13" s="550">
        <v>20.3</v>
      </c>
      <c r="AY13" s="550">
        <v>21</v>
      </c>
      <c r="AZ13" s="550">
        <v>21</v>
      </c>
      <c r="BA13" s="550">
        <v>21</v>
      </c>
      <c r="BB13" s="550">
        <v>20.8</v>
      </c>
      <c r="BC13" s="550">
        <v>20.8</v>
      </c>
      <c r="BD13" s="550">
        <v>20.8</v>
      </c>
      <c r="BE13" s="550">
        <v>20.8</v>
      </c>
      <c r="BF13" s="550">
        <v>20.8</v>
      </c>
      <c r="BG13" s="550">
        <v>20.8</v>
      </c>
      <c r="BH13" s="550">
        <v>21.5</v>
      </c>
      <c r="BI13" s="550">
        <v>21.5</v>
      </c>
      <c r="BJ13" s="550">
        <v>21.5</v>
      </c>
    </row>
    <row r="14" spans="1:62" s="497" customFormat="1" ht="18">
      <c r="A14" s="496" t="s">
        <v>910</v>
      </c>
      <c r="B14" s="516" t="s">
        <v>143</v>
      </c>
      <c r="C14" s="550">
        <v>5.5</v>
      </c>
      <c r="D14" s="550">
        <v>5.5</v>
      </c>
      <c r="E14" s="550">
        <v>5.5</v>
      </c>
      <c r="F14" s="550">
        <v>8</v>
      </c>
      <c r="G14" s="550">
        <v>8</v>
      </c>
      <c r="H14" s="550">
        <v>8</v>
      </c>
      <c r="I14" s="550">
        <v>7.5</v>
      </c>
      <c r="J14" s="550">
        <v>7.5</v>
      </c>
      <c r="K14" s="550">
        <v>7.5</v>
      </c>
      <c r="L14" s="550">
        <v>8.5</v>
      </c>
      <c r="M14" s="550">
        <v>8.5</v>
      </c>
      <c r="N14" s="550">
        <v>8.5</v>
      </c>
      <c r="O14" s="550">
        <v>9.5</v>
      </c>
      <c r="P14" s="550">
        <v>9.5</v>
      </c>
      <c r="Q14" s="550">
        <v>9.5</v>
      </c>
      <c r="R14" s="550">
        <v>9</v>
      </c>
      <c r="S14" s="550">
        <v>9</v>
      </c>
      <c r="T14" s="550">
        <v>9</v>
      </c>
      <c r="U14" s="550">
        <v>10</v>
      </c>
      <c r="V14" s="550">
        <v>10</v>
      </c>
      <c r="W14" s="550">
        <v>10</v>
      </c>
      <c r="X14" s="550">
        <v>11</v>
      </c>
      <c r="Y14" s="550">
        <v>11</v>
      </c>
      <c r="Z14" s="550">
        <v>11</v>
      </c>
      <c r="AA14" s="550">
        <v>11.5</v>
      </c>
      <c r="AB14" s="550">
        <v>11.5</v>
      </c>
      <c r="AC14" s="550">
        <v>11.5</v>
      </c>
      <c r="AD14" s="550">
        <v>12.5</v>
      </c>
      <c r="AE14" s="550">
        <v>12.5</v>
      </c>
      <c r="AF14" s="550">
        <v>12.5</v>
      </c>
      <c r="AG14" s="550">
        <v>11.5</v>
      </c>
      <c r="AH14" s="550">
        <v>11.5</v>
      </c>
      <c r="AI14" s="550">
        <v>11.5</v>
      </c>
      <c r="AJ14" s="550">
        <v>12</v>
      </c>
      <c r="AK14" s="550">
        <v>12</v>
      </c>
      <c r="AL14" s="550">
        <v>12</v>
      </c>
      <c r="AM14" s="550">
        <v>12.5</v>
      </c>
      <c r="AN14" s="550">
        <v>12.5</v>
      </c>
      <c r="AO14" s="550">
        <v>12.5</v>
      </c>
      <c r="AP14" s="550">
        <v>13</v>
      </c>
      <c r="AQ14" s="550">
        <v>13</v>
      </c>
      <c r="AR14" s="550">
        <v>13</v>
      </c>
      <c r="AS14" s="550">
        <v>13.5</v>
      </c>
      <c r="AT14" s="550">
        <v>13.5</v>
      </c>
      <c r="AU14" s="550">
        <v>13.5</v>
      </c>
      <c r="AV14" s="550">
        <v>14.5</v>
      </c>
      <c r="AW14" s="550">
        <v>14.5</v>
      </c>
      <c r="AX14" s="550">
        <v>14.5</v>
      </c>
      <c r="AY14" s="550">
        <v>15</v>
      </c>
      <c r="AZ14" s="550">
        <v>15</v>
      </c>
      <c r="BA14" s="550">
        <v>15</v>
      </c>
      <c r="BB14" s="550">
        <v>16</v>
      </c>
      <c r="BC14" s="550">
        <v>16</v>
      </c>
      <c r="BD14" s="550">
        <v>16</v>
      </c>
      <c r="BE14" s="550">
        <v>16</v>
      </c>
      <c r="BF14" s="550">
        <v>16</v>
      </c>
      <c r="BG14" s="550">
        <v>16</v>
      </c>
      <c r="BH14" s="550">
        <v>16.5</v>
      </c>
      <c r="BI14" s="550">
        <v>16.5</v>
      </c>
      <c r="BJ14" s="550">
        <v>16.5</v>
      </c>
    </row>
    <row r="15" spans="1:62" s="497" customFormat="1" ht="18">
      <c r="A15" s="496" t="s">
        <v>902</v>
      </c>
      <c r="B15" s="516" t="s">
        <v>165</v>
      </c>
      <c r="C15" s="550">
        <v>3</v>
      </c>
      <c r="D15" s="550">
        <v>3</v>
      </c>
      <c r="E15" s="550">
        <v>3</v>
      </c>
      <c r="F15" s="550">
        <v>3</v>
      </c>
      <c r="G15" s="550">
        <v>3</v>
      </c>
      <c r="H15" s="550">
        <v>3</v>
      </c>
      <c r="I15" s="550">
        <v>3</v>
      </c>
      <c r="J15" s="550">
        <v>3</v>
      </c>
      <c r="K15" s="550">
        <v>3</v>
      </c>
      <c r="L15" s="550">
        <v>3</v>
      </c>
      <c r="M15" s="550">
        <v>3</v>
      </c>
      <c r="N15" s="550">
        <v>3</v>
      </c>
      <c r="O15" s="550">
        <v>3</v>
      </c>
      <c r="P15" s="550">
        <v>3</v>
      </c>
      <c r="Q15" s="550">
        <v>3</v>
      </c>
      <c r="R15" s="550">
        <v>3</v>
      </c>
      <c r="S15" s="550">
        <v>3</v>
      </c>
      <c r="T15" s="550">
        <v>3</v>
      </c>
      <c r="U15" s="550">
        <v>3</v>
      </c>
      <c r="V15" s="550">
        <v>3</v>
      </c>
      <c r="W15" s="550">
        <v>3</v>
      </c>
      <c r="X15" s="550">
        <v>3</v>
      </c>
      <c r="Y15" s="550">
        <v>3</v>
      </c>
      <c r="Z15" s="550">
        <v>3</v>
      </c>
      <c r="AA15" s="550">
        <v>3</v>
      </c>
      <c r="AB15" s="550">
        <v>3</v>
      </c>
      <c r="AC15" s="550">
        <v>3</v>
      </c>
      <c r="AD15" s="550">
        <v>3</v>
      </c>
      <c r="AE15" s="550">
        <v>3</v>
      </c>
      <c r="AF15" s="550">
        <v>3</v>
      </c>
      <c r="AG15" s="550">
        <v>3</v>
      </c>
      <c r="AH15" s="550">
        <v>3</v>
      </c>
      <c r="AI15" s="550">
        <v>3</v>
      </c>
      <c r="AJ15" s="550">
        <v>3</v>
      </c>
      <c r="AK15" s="550">
        <v>3</v>
      </c>
      <c r="AL15" s="550">
        <v>3</v>
      </c>
      <c r="AM15" s="550">
        <v>3</v>
      </c>
      <c r="AN15" s="550">
        <v>3</v>
      </c>
      <c r="AO15" s="550">
        <v>3</v>
      </c>
      <c r="AP15" s="550">
        <v>3</v>
      </c>
      <c r="AQ15" s="550">
        <v>3</v>
      </c>
      <c r="AR15" s="550">
        <v>3</v>
      </c>
      <c r="AS15" s="550">
        <v>3</v>
      </c>
      <c r="AT15" s="550">
        <v>3</v>
      </c>
      <c r="AU15" s="550">
        <v>3</v>
      </c>
      <c r="AV15" s="550">
        <v>3</v>
      </c>
      <c r="AW15" s="550">
        <v>3</v>
      </c>
      <c r="AX15" s="550">
        <v>3</v>
      </c>
      <c r="AY15" s="550">
        <v>3</v>
      </c>
      <c r="AZ15" s="550">
        <v>3</v>
      </c>
      <c r="BA15" s="550">
        <v>3</v>
      </c>
      <c r="BB15" s="550">
        <v>3</v>
      </c>
      <c r="BC15" s="550">
        <v>3</v>
      </c>
      <c r="BD15" s="550">
        <v>3</v>
      </c>
      <c r="BE15" s="550">
        <v>3</v>
      </c>
      <c r="BF15" s="550">
        <v>3</v>
      </c>
      <c r="BG15" s="550">
        <v>3</v>
      </c>
      <c r="BH15" s="550">
        <v>3</v>
      </c>
      <c r="BI15" s="550">
        <v>3</v>
      </c>
      <c r="BJ15" s="550">
        <v>3</v>
      </c>
    </row>
    <row r="16" spans="1:62" s="497" customFormat="1" ht="18">
      <c r="A16" s="496" t="s">
        <v>875</v>
      </c>
      <c r="B16" s="516" t="s">
        <v>653</v>
      </c>
      <c r="C16" s="550">
        <v>2</v>
      </c>
      <c r="D16" s="550">
        <v>2</v>
      </c>
      <c r="E16" s="550">
        <v>2</v>
      </c>
      <c r="F16" s="550">
        <v>2</v>
      </c>
      <c r="G16" s="550">
        <v>2</v>
      </c>
      <c r="H16" s="550">
        <v>2</v>
      </c>
      <c r="I16" s="550">
        <v>2</v>
      </c>
      <c r="J16" s="550">
        <v>2</v>
      </c>
      <c r="K16" s="550">
        <v>2</v>
      </c>
      <c r="L16" s="550">
        <v>2</v>
      </c>
      <c r="M16" s="550">
        <v>2</v>
      </c>
      <c r="N16" s="550">
        <v>2</v>
      </c>
      <c r="O16" s="550">
        <v>2</v>
      </c>
      <c r="P16" s="550">
        <v>2</v>
      </c>
      <c r="Q16" s="550">
        <v>2</v>
      </c>
      <c r="R16" s="550">
        <v>3</v>
      </c>
      <c r="S16" s="550">
        <v>3</v>
      </c>
      <c r="T16" s="550">
        <v>3</v>
      </c>
      <c r="U16" s="550">
        <v>3</v>
      </c>
      <c r="V16" s="550">
        <v>3</v>
      </c>
      <c r="W16" s="550">
        <v>3</v>
      </c>
      <c r="X16" s="550">
        <v>3</v>
      </c>
      <c r="Y16" s="550">
        <v>3</v>
      </c>
      <c r="Z16" s="550">
        <v>3</v>
      </c>
      <c r="AA16" s="550">
        <v>3</v>
      </c>
      <c r="AB16" s="550">
        <v>3</v>
      </c>
      <c r="AC16" s="550">
        <v>3</v>
      </c>
      <c r="AD16" s="550">
        <v>3</v>
      </c>
      <c r="AE16" s="550">
        <v>3</v>
      </c>
      <c r="AF16" s="550">
        <v>3</v>
      </c>
      <c r="AG16" s="550">
        <v>4</v>
      </c>
      <c r="AH16" s="550">
        <v>4</v>
      </c>
      <c r="AI16" s="550">
        <v>4</v>
      </c>
      <c r="AJ16" s="550">
        <v>4</v>
      </c>
      <c r="AK16" s="550">
        <v>4</v>
      </c>
      <c r="AL16" s="550">
        <v>4</v>
      </c>
      <c r="AM16" s="550">
        <v>4</v>
      </c>
      <c r="AN16" s="550">
        <v>4</v>
      </c>
      <c r="AO16" s="550">
        <v>4</v>
      </c>
      <c r="AP16" s="550">
        <v>4</v>
      </c>
      <c r="AQ16" s="550">
        <v>4</v>
      </c>
      <c r="AR16" s="550">
        <v>4</v>
      </c>
      <c r="AS16" s="550">
        <v>4</v>
      </c>
      <c r="AT16" s="550">
        <v>4</v>
      </c>
      <c r="AU16" s="550">
        <v>4</v>
      </c>
      <c r="AV16" s="550">
        <v>4</v>
      </c>
      <c r="AW16" s="550">
        <v>4</v>
      </c>
      <c r="AX16" s="550">
        <v>4</v>
      </c>
      <c r="AY16" s="550">
        <v>4</v>
      </c>
      <c r="AZ16" s="550">
        <v>4</v>
      </c>
      <c r="BA16" s="550">
        <v>4</v>
      </c>
      <c r="BB16" s="550">
        <v>4</v>
      </c>
      <c r="BC16" s="550">
        <v>4</v>
      </c>
      <c r="BD16" s="550">
        <v>4</v>
      </c>
      <c r="BE16" s="550">
        <v>4</v>
      </c>
      <c r="BF16" s="550">
        <v>4</v>
      </c>
      <c r="BG16" s="550">
        <v>4</v>
      </c>
      <c r="BH16" s="550">
        <v>4</v>
      </c>
      <c r="BI16" s="550">
        <v>4</v>
      </c>
      <c r="BJ16" s="550">
        <v>4</v>
      </c>
    </row>
    <row r="17" spans="1:62" s="497" customFormat="1" ht="18">
      <c r="A17" s="496" t="s">
        <v>877</v>
      </c>
      <c r="B17" s="516" t="s">
        <v>653</v>
      </c>
      <c r="C17" s="550">
        <v>2</v>
      </c>
      <c r="D17" s="550">
        <v>2</v>
      </c>
      <c r="E17" s="550">
        <v>2</v>
      </c>
      <c r="F17" s="550">
        <v>2</v>
      </c>
      <c r="G17" s="550">
        <v>2</v>
      </c>
      <c r="H17" s="550">
        <v>2</v>
      </c>
      <c r="I17" s="550">
        <v>2</v>
      </c>
      <c r="J17" s="550">
        <v>2</v>
      </c>
      <c r="K17" s="550">
        <v>2</v>
      </c>
      <c r="L17" s="550">
        <v>2</v>
      </c>
      <c r="M17" s="550">
        <v>2</v>
      </c>
      <c r="N17" s="550">
        <v>2</v>
      </c>
      <c r="O17" s="550">
        <v>2</v>
      </c>
      <c r="P17" s="550">
        <v>2</v>
      </c>
      <c r="Q17" s="550">
        <v>2</v>
      </c>
      <c r="R17" s="550">
        <v>3</v>
      </c>
      <c r="S17" s="550">
        <v>3</v>
      </c>
      <c r="T17" s="550">
        <v>3</v>
      </c>
      <c r="U17" s="550">
        <v>3</v>
      </c>
      <c r="V17" s="550">
        <v>3</v>
      </c>
      <c r="W17" s="550">
        <v>3</v>
      </c>
      <c r="X17" s="550">
        <v>3</v>
      </c>
      <c r="Y17" s="550">
        <v>3</v>
      </c>
      <c r="Z17" s="550">
        <v>3</v>
      </c>
      <c r="AA17" s="550">
        <v>3</v>
      </c>
      <c r="AB17" s="550">
        <v>3</v>
      </c>
      <c r="AC17" s="550">
        <v>3</v>
      </c>
      <c r="AD17" s="550">
        <v>3</v>
      </c>
      <c r="AE17" s="550">
        <v>3</v>
      </c>
      <c r="AF17" s="550">
        <v>3</v>
      </c>
      <c r="AG17" s="550">
        <v>4</v>
      </c>
      <c r="AH17" s="550">
        <v>4</v>
      </c>
      <c r="AI17" s="550">
        <v>4</v>
      </c>
      <c r="AJ17" s="550">
        <v>4</v>
      </c>
      <c r="AK17" s="550">
        <v>4</v>
      </c>
      <c r="AL17" s="550">
        <v>4</v>
      </c>
      <c r="AM17" s="550">
        <v>4</v>
      </c>
      <c r="AN17" s="550">
        <v>4</v>
      </c>
      <c r="AO17" s="550">
        <v>4</v>
      </c>
      <c r="AP17" s="550">
        <v>4</v>
      </c>
      <c r="AQ17" s="550">
        <v>4</v>
      </c>
      <c r="AR17" s="550">
        <v>4</v>
      </c>
      <c r="AS17" s="550">
        <v>4</v>
      </c>
      <c r="AT17" s="550">
        <v>4</v>
      </c>
      <c r="AU17" s="550">
        <v>4</v>
      </c>
      <c r="AV17" s="550">
        <v>4</v>
      </c>
      <c r="AW17" s="550">
        <v>4</v>
      </c>
      <c r="AX17" s="550">
        <v>4</v>
      </c>
      <c r="AY17" s="550">
        <v>4</v>
      </c>
      <c r="AZ17" s="550">
        <v>4</v>
      </c>
      <c r="BA17" s="550">
        <v>4</v>
      </c>
      <c r="BB17" s="550">
        <v>4</v>
      </c>
      <c r="BC17" s="550">
        <v>4</v>
      </c>
      <c r="BD17" s="550">
        <v>4</v>
      </c>
      <c r="BE17" s="550">
        <v>4</v>
      </c>
      <c r="BF17" s="550">
        <v>4</v>
      </c>
      <c r="BG17" s="550">
        <v>4</v>
      </c>
      <c r="BH17" s="550">
        <v>4</v>
      </c>
      <c r="BI17" s="550">
        <v>4</v>
      </c>
      <c r="BJ17" s="550">
        <v>4</v>
      </c>
    </row>
    <row r="18" spans="1:62" ht="18">
      <c r="A18" s="498" t="s">
        <v>869</v>
      </c>
      <c r="B18" s="515" t="s">
        <v>537</v>
      </c>
      <c r="C18" s="550"/>
      <c r="D18" s="550"/>
      <c r="E18" s="550"/>
      <c r="F18" s="550"/>
      <c r="G18" s="550"/>
      <c r="H18" s="550"/>
      <c r="I18" s="550"/>
      <c r="J18" s="550"/>
      <c r="K18" s="550" t="e">
        <f>#REF!</f>
        <v>#REF!</v>
      </c>
      <c r="L18" s="550" t="e">
        <f>#REF!</f>
        <v>#REF!</v>
      </c>
      <c r="M18" s="550" t="e">
        <f>#REF!</f>
        <v>#REF!</v>
      </c>
      <c r="N18" s="550" t="e">
        <f>#REF!</f>
        <v>#REF!</v>
      </c>
      <c r="O18" s="550" t="e">
        <f>#REF!</f>
        <v>#REF!</v>
      </c>
      <c r="P18" s="550" t="e">
        <f>#REF!</f>
        <v>#REF!</v>
      </c>
      <c r="Q18" s="550" t="e">
        <f>#REF!</f>
        <v>#REF!</v>
      </c>
      <c r="R18" s="550" t="e">
        <f>#REF!</f>
        <v>#REF!</v>
      </c>
      <c r="S18" s="550" t="e">
        <f>#REF!</f>
        <v>#REF!</v>
      </c>
      <c r="T18" s="550" t="e">
        <f>#REF!</f>
        <v>#REF!</v>
      </c>
      <c r="U18" s="550"/>
      <c r="V18" s="550"/>
      <c r="W18" s="550"/>
      <c r="X18" s="550" t="e">
        <f>#REF!</f>
        <v>#REF!</v>
      </c>
      <c r="Y18" s="550" t="e">
        <f>#REF!</f>
        <v>#REF!</v>
      </c>
      <c r="Z18" s="550" t="e">
        <f>#REF!</f>
        <v>#REF!</v>
      </c>
      <c r="AA18" s="550"/>
      <c r="AB18" s="550"/>
      <c r="AC18" s="550"/>
      <c r="AD18" s="550" t="e">
        <f>#REF!</f>
        <v>#REF!</v>
      </c>
      <c r="AE18" s="550" t="e">
        <f>#REF!</f>
        <v>#REF!</v>
      </c>
      <c r="AF18" s="550" t="e">
        <f>#REF!</f>
        <v>#REF!</v>
      </c>
      <c r="AG18" s="550"/>
      <c r="AH18" s="550"/>
      <c r="AI18" s="550"/>
      <c r="AJ18" s="550" t="e">
        <f>#REF!</f>
        <v>#REF!</v>
      </c>
      <c r="AK18" s="550" t="e">
        <f>#REF!</f>
        <v>#REF!</v>
      </c>
      <c r="AL18" s="550" t="e">
        <f>#REF!</f>
        <v>#REF!</v>
      </c>
      <c r="AM18" s="550"/>
      <c r="AN18" s="550"/>
      <c r="AO18" s="550"/>
      <c r="AP18" s="550"/>
      <c r="AQ18" s="550"/>
      <c r="AR18" s="550"/>
      <c r="AS18" s="550"/>
      <c r="AT18" s="550" t="e">
        <f>#REF!</f>
        <v>#REF!</v>
      </c>
      <c r="AU18" s="550" t="e">
        <f>#REF!</f>
        <v>#REF!</v>
      </c>
      <c r="AV18" s="550" t="e">
        <f>#REF!</f>
        <v>#REF!</v>
      </c>
      <c r="AW18" s="550" t="e">
        <f>#REF!</f>
        <v>#REF!</v>
      </c>
      <c r="AX18" s="550" t="e">
        <f>#REF!</f>
        <v>#REF!</v>
      </c>
      <c r="AY18" s="550"/>
      <c r="AZ18" s="550"/>
      <c r="BA18" s="550"/>
      <c r="BB18" s="550"/>
      <c r="BC18" s="550"/>
      <c r="BD18" s="550"/>
      <c r="BE18" s="550"/>
      <c r="BF18" s="550"/>
      <c r="BG18" s="550"/>
      <c r="BH18" s="550" t="e">
        <f>#REF!</f>
        <v>#REF!</v>
      </c>
      <c r="BI18" s="550" t="e">
        <f>#REF!</f>
        <v>#REF!</v>
      </c>
      <c r="BJ18" s="550" t="e">
        <f>#REF!</f>
        <v>#REF!</v>
      </c>
    </row>
    <row r="19" spans="1:62" ht="18">
      <c r="A19" s="498" t="s">
        <v>866</v>
      </c>
      <c r="B19" s="515" t="s">
        <v>537</v>
      </c>
      <c r="C19" s="550"/>
      <c r="D19" s="550"/>
      <c r="E19" s="550"/>
      <c r="F19" s="550"/>
      <c r="G19" s="550"/>
      <c r="H19" s="550"/>
      <c r="I19" s="550"/>
      <c r="J19" s="550"/>
      <c r="K19" s="550" t="e">
        <f>#REF!</f>
        <v>#REF!</v>
      </c>
      <c r="L19" s="550" t="e">
        <f>#REF!</f>
        <v>#REF!</v>
      </c>
      <c r="M19" s="550" t="e">
        <f>#REF!</f>
        <v>#REF!</v>
      </c>
      <c r="N19" s="550" t="e">
        <f>#REF!</f>
        <v>#REF!</v>
      </c>
      <c r="O19" s="550" t="e">
        <f>#REF!</f>
        <v>#REF!</v>
      </c>
      <c r="P19" s="550" t="e">
        <f>#REF!</f>
        <v>#REF!</v>
      </c>
      <c r="Q19" s="550" t="e">
        <f>#REF!</f>
        <v>#REF!</v>
      </c>
      <c r="R19" s="550" t="e">
        <f>#REF!</f>
        <v>#REF!</v>
      </c>
      <c r="S19" s="550" t="e">
        <f>#REF!</f>
        <v>#REF!</v>
      </c>
      <c r="T19" s="550" t="e">
        <f>#REF!</f>
        <v>#REF!</v>
      </c>
      <c r="U19" s="550"/>
      <c r="V19" s="550"/>
      <c r="W19" s="550"/>
      <c r="X19" s="550" t="e">
        <f>#REF!</f>
        <v>#REF!</v>
      </c>
      <c r="Y19" s="550" t="e">
        <f>#REF!</f>
        <v>#REF!</v>
      </c>
      <c r="Z19" s="550" t="e">
        <f>#REF!</f>
        <v>#REF!</v>
      </c>
      <c r="AA19" s="550"/>
      <c r="AB19" s="550"/>
      <c r="AC19" s="550"/>
      <c r="AD19" s="550" t="e">
        <f>#REF!</f>
        <v>#REF!</v>
      </c>
      <c r="AE19" s="550" t="e">
        <f>#REF!</f>
        <v>#REF!</v>
      </c>
      <c r="AF19" s="550" t="e">
        <f>#REF!</f>
        <v>#REF!</v>
      </c>
      <c r="AG19" s="550"/>
      <c r="AH19" s="550"/>
      <c r="AI19" s="550"/>
      <c r="AJ19" s="550" t="e">
        <f>#REF!</f>
        <v>#REF!</v>
      </c>
      <c r="AK19" s="550" t="e">
        <f>#REF!</f>
        <v>#REF!</v>
      </c>
      <c r="AL19" s="550" t="e">
        <f>#REF!</f>
        <v>#REF!</v>
      </c>
      <c r="AM19" s="550"/>
      <c r="AN19" s="550"/>
      <c r="AO19" s="550"/>
      <c r="AP19" s="550"/>
      <c r="AQ19" s="550"/>
      <c r="AR19" s="550"/>
      <c r="AS19" s="550"/>
      <c r="AT19" s="550" t="e">
        <f>#REF!</f>
        <v>#REF!</v>
      </c>
      <c r="AU19" s="550" t="e">
        <f>#REF!</f>
        <v>#REF!</v>
      </c>
      <c r="AV19" s="550" t="e">
        <f>#REF!</f>
        <v>#REF!</v>
      </c>
      <c r="AW19" s="550" t="e">
        <f>#REF!</f>
        <v>#REF!</v>
      </c>
      <c r="AX19" s="550" t="e">
        <f>#REF!</f>
        <v>#REF!</v>
      </c>
      <c r="AY19" s="550"/>
      <c r="AZ19" s="550"/>
      <c r="BA19" s="550"/>
      <c r="BB19" s="550"/>
      <c r="BC19" s="550"/>
      <c r="BD19" s="550"/>
      <c r="BE19" s="550"/>
      <c r="BF19" s="550"/>
      <c r="BG19" s="550"/>
      <c r="BH19" s="550" t="e">
        <f>#REF!</f>
        <v>#REF!</v>
      </c>
      <c r="BI19" s="550" t="e">
        <f>#REF!</f>
        <v>#REF!</v>
      </c>
      <c r="BJ19" s="550" t="e">
        <f>#REF!</f>
        <v>#REF!</v>
      </c>
    </row>
    <row r="20" spans="1:62" ht="18">
      <c r="A20" s="498" t="s">
        <v>870</v>
      </c>
      <c r="B20" s="515" t="s">
        <v>537</v>
      </c>
      <c r="C20" s="550"/>
      <c r="D20" s="550"/>
      <c r="E20" s="550"/>
      <c r="F20" s="550"/>
      <c r="G20" s="550"/>
      <c r="H20" s="550"/>
      <c r="I20" s="550"/>
      <c r="J20" s="550"/>
      <c r="K20" s="550">
        <v>0.8</v>
      </c>
      <c r="L20" s="550">
        <v>0.8</v>
      </c>
      <c r="M20" s="550">
        <v>0.8</v>
      </c>
      <c r="N20" s="550">
        <v>0.8</v>
      </c>
      <c r="O20" s="550">
        <v>0.8</v>
      </c>
      <c r="P20" s="550">
        <v>0.8</v>
      </c>
      <c r="Q20" s="550">
        <v>0.8</v>
      </c>
      <c r="R20" s="550">
        <v>0.8</v>
      </c>
      <c r="S20" s="550">
        <v>0.8</v>
      </c>
      <c r="T20" s="550">
        <v>0.8</v>
      </c>
      <c r="U20" s="550"/>
      <c r="V20" s="550"/>
      <c r="W20" s="550"/>
      <c r="X20" s="550">
        <v>0.8</v>
      </c>
      <c r="Y20" s="550">
        <v>0.8</v>
      </c>
      <c r="Z20" s="550">
        <v>0.8</v>
      </c>
      <c r="AA20" s="550"/>
      <c r="AB20" s="550"/>
      <c r="AC20" s="550"/>
      <c r="AD20" s="550">
        <v>0.8</v>
      </c>
      <c r="AE20" s="550">
        <v>0.8</v>
      </c>
      <c r="AF20" s="550">
        <v>0.8</v>
      </c>
      <c r="AG20" s="550"/>
      <c r="AH20" s="550"/>
      <c r="AI20" s="550"/>
      <c r="AJ20" s="550">
        <v>0.8</v>
      </c>
      <c r="AK20" s="550">
        <v>0.8</v>
      </c>
      <c r="AL20" s="550">
        <v>0.8</v>
      </c>
      <c r="AM20" s="550"/>
      <c r="AN20" s="550"/>
      <c r="AO20" s="550"/>
      <c r="AP20" s="550"/>
      <c r="AQ20" s="550"/>
      <c r="AR20" s="550"/>
      <c r="AS20" s="550"/>
      <c r="AT20" s="550">
        <v>0.8</v>
      </c>
      <c r="AU20" s="550">
        <v>0.8</v>
      </c>
      <c r="AV20" s="550">
        <v>0.8</v>
      </c>
      <c r="AW20" s="550">
        <v>0.8</v>
      </c>
      <c r="AX20" s="550">
        <v>0.8</v>
      </c>
      <c r="AY20" s="550"/>
      <c r="AZ20" s="550"/>
      <c r="BA20" s="550"/>
      <c r="BB20" s="550"/>
      <c r="BC20" s="550"/>
      <c r="BD20" s="550"/>
      <c r="BE20" s="550"/>
      <c r="BF20" s="550"/>
      <c r="BG20" s="550"/>
      <c r="BH20" s="550">
        <v>0.8</v>
      </c>
      <c r="BI20" s="550">
        <v>0.8</v>
      </c>
      <c r="BJ20" s="550">
        <v>0.8</v>
      </c>
    </row>
    <row r="21" spans="1:62" ht="18">
      <c r="A21" s="498" t="s">
        <v>871</v>
      </c>
      <c r="B21" s="515" t="s">
        <v>537</v>
      </c>
      <c r="C21" s="550"/>
      <c r="D21" s="550"/>
      <c r="E21" s="550"/>
      <c r="F21" s="550"/>
      <c r="G21" s="550"/>
      <c r="H21" s="550"/>
      <c r="I21" s="550"/>
      <c r="J21" s="550"/>
      <c r="K21" s="550">
        <v>0</v>
      </c>
      <c r="L21" s="550">
        <v>0</v>
      </c>
      <c r="M21" s="550">
        <v>0</v>
      </c>
      <c r="N21" s="550">
        <v>0</v>
      </c>
      <c r="O21" s="550">
        <v>0</v>
      </c>
      <c r="P21" s="550">
        <v>0</v>
      </c>
      <c r="Q21" s="550">
        <v>0</v>
      </c>
      <c r="R21" s="550">
        <v>0</v>
      </c>
      <c r="S21" s="550">
        <v>0</v>
      </c>
      <c r="T21" s="550">
        <v>0</v>
      </c>
      <c r="U21" s="550"/>
      <c r="V21" s="550"/>
      <c r="W21" s="550"/>
      <c r="X21" s="550">
        <v>0</v>
      </c>
      <c r="Y21" s="550">
        <v>0</v>
      </c>
      <c r="Z21" s="550">
        <v>0</v>
      </c>
      <c r="AA21" s="550"/>
      <c r="AB21" s="550"/>
      <c r="AC21" s="550"/>
      <c r="AD21" s="550">
        <v>0</v>
      </c>
      <c r="AE21" s="550">
        <v>0</v>
      </c>
      <c r="AF21" s="550">
        <v>0</v>
      </c>
      <c r="AG21" s="550"/>
      <c r="AH21" s="550"/>
      <c r="AI21" s="550"/>
      <c r="AJ21" s="550">
        <v>0</v>
      </c>
      <c r="AK21" s="550">
        <v>0</v>
      </c>
      <c r="AL21" s="550">
        <v>0</v>
      </c>
      <c r="AM21" s="550"/>
      <c r="AN21" s="550"/>
      <c r="AO21" s="550"/>
      <c r="AP21" s="550"/>
      <c r="AQ21" s="550"/>
      <c r="AR21" s="550"/>
      <c r="AS21" s="550"/>
      <c r="AT21" s="550">
        <v>0</v>
      </c>
      <c r="AU21" s="550">
        <v>0</v>
      </c>
      <c r="AV21" s="550">
        <v>0</v>
      </c>
      <c r="AW21" s="550">
        <v>0</v>
      </c>
      <c r="AX21" s="550">
        <v>0</v>
      </c>
      <c r="AY21" s="550"/>
      <c r="AZ21" s="550"/>
      <c r="BA21" s="550"/>
      <c r="BB21" s="550"/>
      <c r="BC21" s="550"/>
      <c r="BD21" s="550"/>
      <c r="BE21" s="550"/>
      <c r="BF21" s="550"/>
      <c r="BG21" s="550"/>
      <c r="BH21" s="550">
        <v>0</v>
      </c>
      <c r="BI21" s="550">
        <v>0</v>
      </c>
      <c r="BJ21" s="550">
        <v>0</v>
      </c>
    </row>
    <row r="22" spans="1:62" ht="18">
      <c r="A22" s="498" t="s">
        <v>851</v>
      </c>
      <c r="B22" s="515" t="s">
        <v>537</v>
      </c>
      <c r="C22" s="550"/>
      <c r="D22" s="550"/>
      <c r="E22" s="550"/>
      <c r="F22" s="550"/>
      <c r="G22" s="550"/>
      <c r="H22" s="550"/>
      <c r="I22" s="550"/>
      <c r="J22" s="550"/>
      <c r="K22" s="550" t="e">
        <f>#REF!</f>
        <v>#REF!</v>
      </c>
      <c r="L22" s="550" t="e">
        <f>#REF!</f>
        <v>#REF!</v>
      </c>
      <c r="M22" s="550" t="e">
        <f>#REF!</f>
        <v>#REF!</v>
      </c>
      <c r="N22" s="550" t="e">
        <f>#REF!</f>
        <v>#REF!</v>
      </c>
      <c r="O22" s="550" t="e">
        <f>#REF!</f>
        <v>#REF!</v>
      </c>
      <c r="P22" s="550" t="e">
        <f>#REF!</f>
        <v>#REF!</v>
      </c>
      <c r="Q22" s="550" t="e">
        <f>#REF!</f>
        <v>#REF!</v>
      </c>
      <c r="R22" s="550" t="e">
        <f>#REF!</f>
        <v>#REF!</v>
      </c>
      <c r="S22" s="550" t="e">
        <f>#REF!</f>
        <v>#REF!</v>
      </c>
      <c r="T22" s="550" t="e">
        <f>#REF!</f>
        <v>#REF!</v>
      </c>
      <c r="U22" s="550"/>
      <c r="V22" s="550"/>
      <c r="W22" s="550"/>
      <c r="X22" s="550" t="e">
        <f>#REF!</f>
        <v>#REF!</v>
      </c>
      <c r="Y22" s="550" t="e">
        <f>#REF!</f>
        <v>#REF!</v>
      </c>
      <c r="Z22" s="550" t="e">
        <f>#REF!</f>
        <v>#REF!</v>
      </c>
      <c r="AA22" s="550"/>
      <c r="AB22" s="550"/>
      <c r="AC22" s="550"/>
      <c r="AD22" s="550" t="e">
        <f>#REF!</f>
        <v>#REF!</v>
      </c>
      <c r="AE22" s="550" t="e">
        <f>#REF!</f>
        <v>#REF!</v>
      </c>
      <c r="AF22" s="550" t="e">
        <f>#REF!</f>
        <v>#REF!</v>
      </c>
      <c r="AG22" s="550"/>
      <c r="AH22" s="550"/>
      <c r="AI22" s="550"/>
      <c r="AJ22" s="550" t="e">
        <f>#REF!</f>
        <v>#REF!</v>
      </c>
      <c r="AK22" s="550" t="e">
        <f>#REF!</f>
        <v>#REF!</v>
      </c>
      <c r="AL22" s="550" t="e">
        <f>#REF!</f>
        <v>#REF!</v>
      </c>
      <c r="AM22" s="550"/>
      <c r="AN22" s="550"/>
      <c r="AO22" s="550"/>
      <c r="AP22" s="550"/>
      <c r="AQ22" s="550"/>
      <c r="AR22" s="550"/>
      <c r="AS22" s="550"/>
      <c r="AT22" s="550" t="e">
        <f>#REF!</f>
        <v>#REF!</v>
      </c>
      <c r="AU22" s="550" t="e">
        <f>#REF!</f>
        <v>#REF!</v>
      </c>
      <c r="AV22" s="550" t="e">
        <f>#REF!</f>
        <v>#REF!</v>
      </c>
      <c r="AW22" s="550" t="e">
        <f>#REF!</f>
        <v>#REF!</v>
      </c>
      <c r="AX22" s="550" t="e">
        <f>#REF!</f>
        <v>#REF!</v>
      </c>
      <c r="AY22" s="550"/>
      <c r="AZ22" s="550"/>
      <c r="BA22" s="550"/>
      <c r="BB22" s="550"/>
      <c r="BC22" s="550"/>
      <c r="BD22" s="550"/>
      <c r="BE22" s="550"/>
      <c r="BF22" s="550"/>
      <c r="BG22" s="550"/>
      <c r="BH22" s="550" t="e">
        <f>#REF!</f>
        <v>#REF!</v>
      </c>
      <c r="BI22" s="550" t="e">
        <f>#REF!</f>
        <v>#REF!</v>
      </c>
      <c r="BJ22" s="550" t="e">
        <f>#REF!</f>
        <v>#REF!</v>
      </c>
    </row>
    <row r="23" spans="1:62" ht="18">
      <c r="A23" s="498" t="s">
        <v>779</v>
      </c>
      <c r="B23" s="515" t="s">
        <v>537</v>
      </c>
      <c r="C23" s="550"/>
      <c r="D23" s="550"/>
      <c r="E23" s="550"/>
      <c r="F23" s="550"/>
      <c r="G23" s="550"/>
      <c r="H23" s="550"/>
      <c r="I23" s="550"/>
      <c r="J23" s="550"/>
      <c r="K23" s="550" t="e">
        <f>K22</f>
        <v>#REF!</v>
      </c>
      <c r="L23" s="550" t="e">
        <f t="shared" ref="L23:BJ23" si="1">L22</f>
        <v>#REF!</v>
      </c>
      <c r="M23" s="550" t="e">
        <f t="shared" si="1"/>
        <v>#REF!</v>
      </c>
      <c r="N23" s="550" t="e">
        <f t="shared" si="1"/>
        <v>#REF!</v>
      </c>
      <c r="O23" s="550" t="e">
        <f t="shared" si="1"/>
        <v>#REF!</v>
      </c>
      <c r="P23" s="550" t="e">
        <f t="shared" si="1"/>
        <v>#REF!</v>
      </c>
      <c r="Q23" s="550" t="e">
        <f t="shared" si="1"/>
        <v>#REF!</v>
      </c>
      <c r="R23" s="550" t="e">
        <f t="shared" si="1"/>
        <v>#REF!</v>
      </c>
      <c r="S23" s="550" t="e">
        <f t="shared" si="1"/>
        <v>#REF!</v>
      </c>
      <c r="T23" s="550" t="e">
        <f t="shared" si="1"/>
        <v>#REF!</v>
      </c>
      <c r="U23" s="550"/>
      <c r="V23" s="550"/>
      <c r="W23" s="550"/>
      <c r="X23" s="550" t="e">
        <f t="shared" si="1"/>
        <v>#REF!</v>
      </c>
      <c r="Y23" s="550" t="e">
        <f t="shared" si="1"/>
        <v>#REF!</v>
      </c>
      <c r="Z23" s="550" t="e">
        <f t="shared" si="1"/>
        <v>#REF!</v>
      </c>
      <c r="AA23" s="550"/>
      <c r="AB23" s="550"/>
      <c r="AC23" s="550"/>
      <c r="AD23" s="550" t="e">
        <f t="shared" si="1"/>
        <v>#REF!</v>
      </c>
      <c r="AE23" s="550" t="e">
        <f t="shared" si="1"/>
        <v>#REF!</v>
      </c>
      <c r="AF23" s="550" t="e">
        <f t="shared" si="1"/>
        <v>#REF!</v>
      </c>
      <c r="AG23" s="550"/>
      <c r="AH23" s="550"/>
      <c r="AI23" s="550"/>
      <c r="AJ23" s="550" t="e">
        <f t="shared" si="1"/>
        <v>#REF!</v>
      </c>
      <c r="AK23" s="550" t="e">
        <f t="shared" si="1"/>
        <v>#REF!</v>
      </c>
      <c r="AL23" s="550" t="e">
        <f t="shared" si="1"/>
        <v>#REF!</v>
      </c>
      <c r="AM23" s="550"/>
      <c r="AN23" s="550"/>
      <c r="AO23" s="550"/>
      <c r="AP23" s="550"/>
      <c r="AQ23" s="550"/>
      <c r="AR23" s="550"/>
      <c r="AS23" s="550"/>
      <c r="AT23" s="550" t="e">
        <f t="shared" si="1"/>
        <v>#REF!</v>
      </c>
      <c r="AU23" s="550" t="e">
        <f t="shared" si="1"/>
        <v>#REF!</v>
      </c>
      <c r="AV23" s="550" t="e">
        <f t="shared" si="1"/>
        <v>#REF!</v>
      </c>
      <c r="AW23" s="550" t="e">
        <f t="shared" si="1"/>
        <v>#REF!</v>
      </c>
      <c r="AX23" s="550" t="e">
        <f t="shared" si="1"/>
        <v>#REF!</v>
      </c>
      <c r="AY23" s="550"/>
      <c r="AZ23" s="550"/>
      <c r="BA23" s="550"/>
      <c r="BB23" s="550"/>
      <c r="BC23" s="550"/>
      <c r="BD23" s="550"/>
      <c r="BE23" s="550"/>
      <c r="BF23" s="550"/>
      <c r="BG23" s="550"/>
      <c r="BH23" s="550" t="e">
        <f t="shared" si="1"/>
        <v>#REF!</v>
      </c>
      <c r="BI23" s="550" t="e">
        <f t="shared" si="1"/>
        <v>#REF!</v>
      </c>
      <c r="BJ23" s="550" t="e">
        <f t="shared" si="1"/>
        <v>#REF!</v>
      </c>
    </row>
    <row r="24" spans="1:62" ht="18">
      <c r="A24" s="498" t="s">
        <v>780</v>
      </c>
      <c r="B24" s="515" t="s">
        <v>537</v>
      </c>
      <c r="C24" s="550"/>
      <c r="D24" s="550"/>
      <c r="E24" s="550"/>
      <c r="F24" s="550"/>
      <c r="G24" s="550"/>
      <c r="H24" s="550"/>
      <c r="I24" s="550"/>
      <c r="J24" s="550"/>
      <c r="K24" s="550">
        <v>0.8</v>
      </c>
      <c r="L24" s="550">
        <v>0.8</v>
      </c>
      <c r="M24" s="550">
        <v>0.8</v>
      </c>
      <c r="N24" s="550">
        <v>0.8</v>
      </c>
      <c r="O24" s="550">
        <v>0.8</v>
      </c>
      <c r="P24" s="550">
        <v>0.8</v>
      </c>
      <c r="Q24" s="550">
        <v>0.8</v>
      </c>
      <c r="R24" s="550">
        <v>0.8</v>
      </c>
      <c r="S24" s="550">
        <v>0.8</v>
      </c>
      <c r="T24" s="550">
        <v>0.8</v>
      </c>
      <c r="U24" s="550"/>
      <c r="V24" s="550"/>
      <c r="W24" s="550"/>
      <c r="X24" s="550">
        <v>0.8</v>
      </c>
      <c r="Y24" s="550">
        <v>0.8</v>
      </c>
      <c r="Z24" s="550">
        <v>0.8</v>
      </c>
      <c r="AA24" s="550"/>
      <c r="AB24" s="550"/>
      <c r="AC24" s="550"/>
      <c r="AD24" s="550">
        <v>0.8</v>
      </c>
      <c r="AE24" s="550">
        <v>0.8</v>
      </c>
      <c r="AF24" s="550">
        <v>0.8</v>
      </c>
      <c r="AG24" s="550"/>
      <c r="AH24" s="550"/>
      <c r="AI24" s="550"/>
      <c r="AJ24" s="550">
        <v>0.8</v>
      </c>
      <c r="AK24" s="550">
        <v>0.8</v>
      </c>
      <c r="AL24" s="550">
        <v>0.8</v>
      </c>
      <c r="AM24" s="550"/>
      <c r="AN24" s="550"/>
      <c r="AO24" s="550"/>
      <c r="AP24" s="550"/>
      <c r="AQ24" s="550"/>
      <c r="AR24" s="550"/>
      <c r="AS24" s="550"/>
      <c r="AT24" s="550">
        <v>0.8</v>
      </c>
      <c r="AU24" s="550">
        <v>0.8</v>
      </c>
      <c r="AV24" s="550">
        <v>0.8</v>
      </c>
      <c r="AW24" s="550">
        <v>0.8</v>
      </c>
      <c r="AX24" s="550">
        <v>0.8</v>
      </c>
      <c r="AY24" s="550"/>
      <c r="AZ24" s="550"/>
      <c r="BA24" s="550"/>
      <c r="BB24" s="550"/>
      <c r="BC24" s="550"/>
      <c r="BD24" s="550"/>
      <c r="BE24" s="550"/>
      <c r="BF24" s="550"/>
      <c r="BG24" s="550"/>
      <c r="BH24" s="550">
        <v>0.8</v>
      </c>
      <c r="BI24" s="550">
        <v>0.8</v>
      </c>
      <c r="BJ24" s="550">
        <v>0.8</v>
      </c>
    </row>
    <row r="25" spans="1:62" ht="36">
      <c r="A25" s="498" t="s">
        <v>589</v>
      </c>
      <c r="B25" s="515" t="s">
        <v>537</v>
      </c>
      <c r="C25" s="550"/>
      <c r="D25" s="550"/>
      <c r="E25" s="550"/>
      <c r="F25" s="550"/>
      <c r="G25" s="550"/>
      <c r="H25" s="550"/>
      <c r="I25" s="550"/>
      <c r="J25" s="550"/>
      <c r="K25" s="550">
        <v>1</v>
      </c>
      <c r="L25" s="550">
        <v>1</v>
      </c>
      <c r="M25" s="550">
        <v>1</v>
      </c>
      <c r="N25" s="550">
        <v>1</v>
      </c>
      <c r="O25" s="550">
        <v>1</v>
      </c>
      <c r="P25" s="550">
        <v>1</v>
      </c>
      <c r="Q25" s="550">
        <v>1</v>
      </c>
      <c r="R25" s="550">
        <v>1</v>
      </c>
      <c r="S25" s="550">
        <v>1</v>
      </c>
      <c r="T25" s="550">
        <v>1</v>
      </c>
      <c r="U25" s="550"/>
      <c r="V25" s="550"/>
      <c r="W25" s="550"/>
      <c r="X25" s="550">
        <v>1</v>
      </c>
      <c r="Y25" s="550">
        <v>1</v>
      </c>
      <c r="Z25" s="550">
        <v>1</v>
      </c>
      <c r="AA25" s="550"/>
      <c r="AB25" s="550"/>
      <c r="AC25" s="550"/>
      <c r="AD25" s="550">
        <v>1</v>
      </c>
      <c r="AE25" s="550">
        <v>1</v>
      </c>
      <c r="AF25" s="550">
        <v>1</v>
      </c>
      <c r="AG25" s="550"/>
      <c r="AH25" s="550"/>
      <c r="AI25" s="550"/>
      <c r="AJ25" s="550">
        <v>1</v>
      </c>
      <c r="AK25" s="550">
        <v>1</v>
      </c>
      <c r="AL25" s="550">
        <v>1</v>
      </c>
      <c r="AM25" s="550"/>
      <c r="AN25" s="550"/>
      <c r="AO25" s="550"/>
      <c r="AP25" s="550"/>
      <c r="AQ25" s="550"/>
      <c r="AR25" s="550"/>
      <c r="AS25" s="550"/>
      <c r="AT25" s="550">
        <v>1</v>
      </c>
      <c r="AU25" s="550">
        <v>1</v>
      </c>
      <c r="AV25" s="550">
        <v>1</v>
      </c>
      <c r="AW25" s="550">
        <v>1</v>
      </c>
      <c r="AX25" s="550">
        <v>1</v>
      </c>
      <c r="AY25" s="550"/>
      <c r="AZ25" s="550"/>
      <c r="BA25" s="550"/>
      <c r="BB25" s="550"/>
      <c r="BC25" s="550"/>
      <c r="BD25" s="550"/>
      <c r="BE25" s="550"/>
      <c r="BF25" s="550"/>
      <c r="BG25" s="550"/>
      <c r="BH25" s="550">
        <v>1</v>
      </c>
      <c r="BI25" s="550">
        <v>1</v>
      </c>
      <c r="BJ25" s="550">
        <v>1</v>
      </c>
    </row>
    <row r="26" spans="1:62" ht="36">
      <c r="A26" s="498" t="s">
        <v>781</v>
      </c>
      <c r="B26" s="515" t="s">
        <v>537</v>
      </c>
      <c r="C26" s="550"/>
      <c r="D26" s="550"/>
      <c r="E26" s="550"/>
      <c r="F26" s="550"/>
      <c r="G26" s="550"/>
      <c r="H26" s="550"/>
      <c r="I26" s="550"/>
      <c r="J26" s="550"/>
      <c r="K26" s="550">
        <v>1.3</v>
      </c>
      <c r="L26" s="550">
        <v>1.3</v>
      </c>
      <c r="M26" s="550">
        <v>1.3</v>
      </c>
      <c r="N26" s="550">
        <v>1.3</v>
      </c>
      <c r="O26" s="550">
        <v>1.3</v>
      </c>
      <c r="P26" s="550">
        <v>1.3</v>
      </c>
      <c r="Q26" s="550">
        <v>1.3</v>
      </c>
      <c r="R26" s="550">
        <v>1.3</v>
      </c>
      <c r="S26" s="550">
        <v>1.3</v>
      </c>
      <c r="T26" s="550">
        <v>1.3</v>
      </c>
      <c r="U26" s="550"/>
      <c r="V26" s="550"/>
      <c r="W26" s="550"/>
      <c r="X26" s="550">
        <v>1.3</v>
      </c>
      <c r="Y26" s="550">
        <v>1.3</v>
      </c>
      <c r="Z26" s="550">
        <v>1.3</v>
      </c>
      <c r="AA26" s="550"/>
      <c r="AB26" s="550"/>
      <c r="AC26" s="550"/>
      <c r="AD26" s="550">
        <v>1.3</v>
      </c>
      <c r="AE26" s="550">
        <v>1.3</v>
      </c>
      <c r="AF26" s="550">
        <v>1.3</v>
      </c>
      <c r="AG26" s="550"/>
      <c r="AH26" s="550"/>
      <c r="AI26" s="550"/>
      <c r="AJ26" s="550">
        <v>1.3</v>
      </c>
      <c r="AK26" s="550">
        <v>1.3</v>
      </c>
      <c r="AL26" s="550">
        <v>1.3</v>
      </c>
      <c r="AM26" s="550"/>
      <c r="AN26" s="550"/>
      <c r="AO26" s="550"/>
      <c r="AP26" s="550"/>
      <c r="AQ26" s="550"/>
      <c r="AR26" s="550"/>
      <c r="AS26" s="550"/>
      <c r="AT26" s="550">
        <v>1.3</v>
      </c>
      <c r="AU26" s="550">
        <v>1.3</v>
      </c>
      <c r="AV26" s="550">
        <v>1.3</v>
      </c>
      <c r="AW26" s="550">
        <v>1.3</v>
      </c>
      <c r="AX26" s="550">
        <v>1.3</v>
      </c>
      <c r="AY26" s="550"/>
      <c r="AZ26" s="550"/>
      <c r="BA26" s="550"/>
      <c r="BB26" s="550"/>
      <c r="BC26" s="550"/>
      <c r="BD26" s="550"/>
      <c r="BE26" s="550"/>
      <c r="BF26" s="550"/>
      <c r="BG26" s="550"/>
      <c r="BH26" s="550">
        <v>1.3</v>
      </c>
      <c r="BI26" s="550">
        <v>1.3</v>
      </c>
      <c r="BJ26" s="550">
        <v>1.3</v>
      </c>
    </row>
    <row r="27" spans="1:62" s="500" customFormat="1" ht="36">
      <c r="A27" s="499" t="s">
        <v>591</v>
      </c>
      <c r="B27" s="517" t="s">
        <v>537</v>
      </c>
      <c r="C27" s="550"/>
      <c r="D27" s="550"/>
      <c r="E27" s="550"/>
      <c r="F27" s="550"/>
      <c r="G27" s="550"/>
      <c r="H27" s="550"/>
      <c r="I27" s="550"/>
      <c r="J27" s="550"/>
      <c r="K27" s="550" t="e">
        <f>#REF!</f>
        <v>#REF!</v>
      </c>
      <c r="L27" s="550" t="e">
        <f>#REF!</f>
        <v>#REF!</v>
      </c>
      <c r="M27" s="550" t="e">
        <f>#REF!</f>
        <v>#REF!</v>
      </c>
      <c r="N27" s="550" t="e">
        <f>#REF!</f>
        <v>#REF!</v>
      </c>
      <c r="O27" s="550" t="e">
        <f>#REF!</f>
        <v>#REF!</v>
      </c>
      <c r="P27" s="550" t="e">
        <f>#REF!</f>
        <v>#REF!</v>
      </c>
      <c r="Q27" s="550" t="e">
        <f>#REF!</f>
        <v>#REF!</v>
      </c>
      <c r="R27" s="550" t="e">
        <f>#REF!</f>
        <v>#REF!</v>
      </c>
      <c r="S27" s="550" t="e">
        <f>#REF!</f>
        <v>#REF!</v>
      </c>
      <c r="T27" s="550" t="e">
        <f>#REF!</f>
        <v>#REF!</v>
      </c>
      <c r="U27" s="550"/>
      <c r="V27" s="550"/>
      <c r="W27" s="550"/>
      <c r="X27" s="550" t="e">
        <f>#REF!</f>
        <v>#REF!</v>
      </c>
      <c r="Y27" s="550" t="e">
        <f>#REF!</f>
        <v>#REF!</v>
      </c>
      <c r="Z27" s="550" t="e">
        <f>#REF!</f>
        <v>#REF!</v>
      </c>
      <c r="AA27" s="550"/>
      <c r="AB27" s="550"/>
      <c r="AC27" s="550"/>
      <c r="AD27" s="550" t="e">
        <f>#REF!</f>
        <v>#REF!</v>
      </c>
      <c r="AE27" s="550" t="e">
        <f>#REF!</f>
        <v>#REF!</v>
      </c>
      <c r="AF27" s="550" t="e">
        <f>#REF!</f>
        <v>#REF!</v>
      </c>
      <c r="AG27" s="550"/>
      <c r="AH27" s="550"/>
      <c r="AI27" s="550"/>
      <c r="AJ27" s="550" t="e">
        <f>#REF!</f>
        <v>#REF!</v>
      </c>
      <c r="AK27" s="550" t="e">
        <f>#REF!</f>
        <v>#REF!</v>
      </c>
      <c r="AL27" s="550" t="e">
        <f>#REF!</f>
        <v>#REF!</v>
      </c>
      <c r="AM27" s="550"/>
      <c r="AN27" s="550"/>
      <c r="AO27" s="550"/>
      <c r="AP27" s="550"/>
      <c r="AQ27" s="550"/>
      <c r="AR27" s="550"/>
      <c r="AS27" s="550"/>
      <c r="AT27" s="550" t="e">
        <f>#REF!</f>
        <v>#REF!</v>
      </c>
      <c r="AU27" s="550" t="e">
        <f>#REF!</f>
        <v>#REF!</v>
      </c>
      <c r="AV27" s="550" t="e">
        <f>#REF!</f>
        <v>#REF!</v>
      </c>
      <c r="AW27" s="550" t="e">
        <f>#REF!</f>
        <v>#REF!</v>
      </c>
      <c r="AX27" s="550" t="e">
        <f>#REF!</f>
        <v>#REF!</v>
      </c>
      <c r="AY27" s="550"/>
      <c r="AZ27" s="550"/>
      <c r="BA27" s="550"/>
      <c r="BB27" s="550"/>
      <c r="BC27" s="550"/>
      <c r="BD27" s="550"/>
      <c r="BE27" s="550"/>
      <c r="BF27" s="550"/>
      <c r="BG27" s="550"/>
      <c r="BH27" s="550" t="e">
        <f>#REF!</f>
        <v>#REF!</v>
      </c>
      <c r="BI27" s="550" t="e">
        <f>#REF!</f>
        <v>#REF!</v>
      </c>
      <c r="BJ27" s="550" t="e">
        <f>#REF!</f>
        <v>#REF!</v>
      </c>
    </row>
    <row r="28" spans="1:62" s="501" customFormat="1" ht="18">
      <c r="A28" s="498" t="s">
        <v>548</v>
      </c>
      <c r="B28" s="518" t="s">
        <v>537</v>
      </c>
      <c r="C28" s="550"/>
      <c r="D28" s="550"/>
      <c r="E28" s="550"/>
      <c r="F28" s="550"/>
      <c r="G28" s="550"/>
      <c r="H28" s="550"/>
      <c r="I28" s="550"/>
      <c r="J28" s="550"/>
      <c r="K28" s="550" t="e">
        <f>#REF!</f>
        <v>#REF!</v>
      </c>
      <c r="L28" s="550" t="e">
        <f>#REF!</f>
        <v>#REF!</v>
      </c>
      <c r="M28" s="550" t="e">
        <f>#REF!</f>
        <v>#REF!</v>
      </c>
      <c r="N28" s="550" t="e">
        <f>#REF!</f>
        <v>#REF!</v>
      </c>
      <c r="O28" s="550" t="e">
        <f>#REF!</f>
        <v>#REF!</v>
      </c>
      <c r="P28" s="550" t="e">
        <f>#REF!</f>
        <v>#REF!</v>
      </c>
      <c r="Q28" s="550" t="e">
        <f>#REF!</f>
        <v>#REF!</v>
      </c>
      <c r="R28" s="550" t="e">
        <f>#REF!</f>
        <v>#REF!</v>
      </c>
      <c r="S28" s="550" t="e">
        <f>#REF!</f>
        <v>#REF!</v>
      </c>
      <c r="T28" s="550" t="e">
        <f>#REF!</f>
        <v>#REF!</v>
      </c>
      <c r="U28" s="550"/>
      <c r="V28" s="550"/>
      <c r="W28" s="550"/>
      <c r="X28" s="550" t="e">
        <f>#REF!</f>
        <v>#REF!</v>
      </c>
      <c r="Y28" s="550" t="e">
        <f>#REF!</f>
        <v>#REF!</v>
      </c>
      <c r="Z28" s="550" t="e">
        <f>#REF!</f>
        <v>#REF!</v>
      </c>
      <c r="AA28" s="550"/>
      <c r="AB28" s="550"/>
      <c r="AC28" s="550"/>
      <c r="AD28" s="550" t="e">
        <f>#REF!</f>
        <v>#REF!</v>
      </c>
      <c r="AE28" s="550" t="e">
        <f>#REF!</f>
        <v>#REF!</v>
      </c>
      <c r="AF28" s="550" t="e">
        <f>#REF!</f>
        <v>#REF!</v>
      </c>
      <c r="AG28" s="550"/>
      <c r="AH28" s="550"/>
      <c r="AI28" s="550"/>
      <c r="AJ28" s="550" t="e">
        <f>#REF!</f>
        <v>#REF!</v>
      </c>
      <c r="AK28" s="550" t="e">
        <f>#REF!</f>
        <v>#REF!</v>
      </c>
      <c r="AL28" s="550" t="e">
        <f>#REF!</f>
        <v>#REF!</v>
      </c>
      <c r="AM28" s="550"/>
      <c r="AN28" s="550"/>
      <c r="AO28" s="550"/>
      <c r="AP28" s="550"/>
      <c r="AQ28" s="550"/>
      <c r="AR28" s="550"/>
      <c r="AS28" s="550"/>
      <c r="AT28" s="550" t="e">
        <f>#REF!</f>
        <v>#REF!</v>
      </c>
      <c r="AU28" s="550" t="e">
        <f>#REF!</f>
        <v>#REF!</v>
      </c>
      <c r="AV28" s="550" t="e">
        <f>#REF!</f>
        <v>#REF!</v>
      </c>
      <c r="AW28" s="550" t="e">
        <f>#REF!</f>
        <v>#REF!</v>
      </c>
      <c r="AX28" s="550" t="e">
        <f>#REF!</f>
        <v>#REF!</v>
      </c>
      <c r="AY28" s="550"/>
      <c r="AZ28" s="550"/>
      <c r="BA28" s="550"/>
      <c r="BB28" s="550"/>
      <c r="BC28" s="550"/>
      <c r="BD28" s="550"/>
      <c r="BE28" s="550"/>
      <c r="BF28" s="550"/>
      <c r="BG28" s="550"/>
      <c r="BH28" s="550" t="e">
        <f>#REF!</f>
        <v>#REF!</v>
      </c>
      <c r="BI28" s="550" t="e">
        <f>#REF!</f>
        <v>#REF!</v>
      </c>
      <c r="BJ28" s="550" t="e">
        <f>#REF!</f>
        <v>#REF!</v>
      </c>
    </row>
    <row r="29" spans="1:62" s="501" customFormat="1" ht="18">
      <c r="A29" s="498" t="s">
        <v>782</v>
      </c>
      <c r="B29" s="518" t="s">
        <v>537</v>
      </c>
      <c r="C29" s="550"/>
      <c r="D29" s="550"/>
      <c r="E29" s="550"/>
      <c r="F29" s="550"/>
      <c r="G29" s="550"/>
      <c r="H29" s="550"/>
      <c r="I29" s="550"/>
      <c r="J29" s="550"/>
      <c r="K29" s="550">
        <v>0.8</v>
      </c>
      <c r="L29" s="550">
        <v>0.8</v>
      </c>
      <c r="M29" s="550">
        <v>0.8</v>
      </c>
      <c r="N29" s="550">
        <v>0.8</v>
      </c>
      <c r="O29" s="550">
        <v>0.8</v>
      </c>
      <c r="P29" s="550">
        <v>0.8</v>
      </c>
      <c r="Q29" s="550">
        <v>0.8</v>
      </c>
      <c r="R29" s="550">
        <v>0.8</v>
      </c>
      <c r="S29" s="550">
        <v>0.8</v>
      </c>
      <c r="T29" s="550">
        <v>0.8</v>
      </c>
      <c r="U29" s="550"/>
      <c r="V29" s="550"/>
      <c r="W29" s="550"/>
      <c r="X29" s="550">
        <v>0.8</v>
      </c>
      <c r="Y29" s="550">
        <v>0.8</v>
      </c>
      <c r="Z29" s="550">
        <v>0.8</v>
      </c>
      <c r="AA29" s="550"/>
      <c r="AB29" s="550"/>
      <c r="AC29" s="550"/>
      <c r="AD29" s="550">
        <v>0.8</v>
      </c>
      <c r="AE29" s="550">
        <v>0.8</v>
      </c>
      <c r="AF29" s="550">
        <v>0.8</v>
      </c>
      <c r="AG29" s="550"/>
      <c r="AH29" s="550"/>
      <c r="AI29" s="550"/>
      <c r="AJ29" s="550">
        <v>0.8</v>
      </c>
      <c r="AK29" s="550">
        <v>0.8</v>
      </c>
      <c r="AL29" s="550">
        <v>0.8</v>
      </c>
      <c r="AM29" s="550"/>
      <c r="AN29" s="550"/>
      <c r="AO29" s="550"/>
      <c r="AP29" s="550"/>
      <c r="AQ29" s="550"/>
      <c r="AR29" s="550"/>
      <c r="AS29" s="550"/>
      <c r="AT29" s="550">
        <v>0.8</v>
      </c>
      <c r="AU29" s="550">
        <v>0.8</v>
      </c>
      <c r="AV29" s="550">
        <v>0.8</v>
      </c>
      <c r="AW29" s="550">
        <v>0.8</v>
      </c>
      <c r="AX29" s="550">
        <v>0.8</v>
      </c>
      <c r="AY29" s="550"/>
      <c r="AZ29" s="550"/>
      <c r="BA29" s="550"/>
      <c r="BB29" s="550"/>
      <c r="BC29" s="550"/>
      <c r="BD29" s="550"/>
      <c r="BE29" s="550"/>
      <c r="BF29" s="550"/>
      <c r="BG29" s="550"/>
      <c r="BH29" s="550">
        <v>0.8</v>
      </c>
      <c r="BI29" s="550">
        <v>0.8</v>
      </c>
      <c r="BJ29" s="550">
        <v>0.8</v>
      </c>
    </row>
    <row r="30" spans="1:62" s="501" customFormat="1" ht="18">
      <c r="A30" s="498" t="s">
        <v>783</v>
      </c>
      <c r="B30" s="518" t="s">
        <v>537</v>
      </c>
      <c r="C30" s="550"/>
      <c r="D30" s="550"/>
      <c r="E30" s="550"/>
      <c r="F30" s="550"/>
      <c r="G30" s="550"/>
      <c r="H30" s="550"/>
      <c r="I30" s="550"/>
      <c r="J30" s="550"/>
      <c r="K30" s="550">
        <v>0.2</v>
      </c>
      <c r="L30" s="550">
        <v>0.2</v>
      </c>
      <c r="M30" s="550">
        <v>0.2</v>
      </c>
      <c r="N30" s="550">
        <v>0.2</v>
      </c>
      <c r="O30" s="550">
        <v>0.2</v>
      </c>
      <c r="P30" s="550">
        <v>0.2</v>
      </c>
      <c r="Q30" s="550">
        <v>0.2</v>
      </c>
      <c r="R30" s="550">
        <v>0.2</v>
      </c>
      <c r="S30" s="550">
        <v>0.2</v>
      </c>
      <c r="T30" s="550">
        <v>0.2</v>
      </c>
      <c r="U30" s="550"/>
      <c r="V30" s="550"/>
      <c r="W30" s="550"/>
      <c r="X30" s="550">
        <v>0.2</v>
      </c>
      <c r="Y30" s="550">
        <v>0.2</v>
      </c>
      <c r="Z30" s="550">
        <v>0.2</v>
      </c>
      <c r="AA30" s="550"/>
      <c r="AB30" s="550"/>
      <c r="AC30" s="550"/>
      <c r="AD30" s="550">
        <v>0.2</v>
      </c>
      <c r="AE30" s="550">
        <v>0.2</v>
      </c>
      <c r="AF30" s="550">
        <v>0.2</v>
      </c>
      <c r="AG30" s="550"/>
      <c r="AH30" s="550"/>
      <c r="AI30" s="550"/>
      <c r="AJ30" s="550">
        <v>0.2</v>
      </c>
      <c r="AK30" s="550">
        <v>0.2</v>
      </c>
      <c r="AL30" s="550">
        <v>0.2</v>
      </c>
      <c r="AM30" s="550"/>
      <c r="AN30" s="550"/>
      <c r="AO30" s="550"/>
      <c r="AP30" s="550"/>
      <c r="AQ30" s="550"/>
      <c r="AR30" s="550"/>
      <c r="AS30" s="550"/>
      <c r="AT30" s="550">
        <v>0.2</v>
      </c>
      <c r="AU30" s="550">
        <v>0.2</v>
      </c>
      <c r="AV30" s="550">
        <v>0.2</v>
      </c>
      <c r="AW30" s="550">
        <v>0.2</v>
      </c>
      <c r="AX30" s="550">
        <v>0.2</v>
      </c>
      <c r="AY30" s="550"/>
      <c r="AZ30" s="550"/>
      <c r="BA30" s="550"/>
      <c r="BB30" s="550"/>
      <c r="BC30" s="550"/>
      <c r="BD30" s="550"/>
      <c r="BE30" s="550"/>
      <c r="BF30" s="550"/>
      <c r="BG30" s="550"/>
      <c r="BH30" s="550">
        <v>0.2</v>
      </c>
      <c r="BI30" s="550">
        <v>0.2</v>
      </c>
      <c r="BJ30" s="550">
        <v>0.2</v>
      </c>
    </row>
    <row r="31" spans="1:62" s="501" customFormat="1" ht="18">
      <c r="A31" s="498" t="s">
        <v>784</v>
      </c>
      <c r="B31" s="518" t="s">
        <v>537</v>
      </c>
      <c r="C31" s="550"/>
      <c r="D31" s="550"/>
      <c r="E31" s="550"/>
      <c r="F31" s="550"/>
      <c r="G31" s="550"/>
      <c r="H31" s="550"/>
      <c r="I31" s="550"/>
      <c r="J31" s="550"/>
      <c r="K31" s="550">
        <v>0.4</v>
      </c>
      <c r="L31" s="550">
        <v>0.4</v>
      </c>
      <c r="M31" s="550">
        <v>0.4</v>
      </c>
      <c r="N31" s="550">
        <v>0.4</v>
      </c>
      <c r="O31" s="550">
        <v>0.4</v>
      </c>
      <c r="P31" s="550">
        <v>0.4</v>
      </c>
      <c r="Q31" s="550">
        <v>0.4</v>
      </c>
      <c r="R31" s="550">
        <v>0.4</v>
      </c>
      <c r="S31" s="550">
        <v>0.4</v>
      </c>
      <c r="T31" s="550">
        <v>0.4</v>
      </c>
      <c r="U31" s="550"/>
      <c r="V31" s="550"/>
      <c r="W31" s="550"/>
      <c r="X31" s="550">
        <v>0.4</v>
      </c>
      <c r="Y31" s="550">
        <v>0.4</v>
      </c>
      <c r="Z31" s="550">
        <v>0.4</v>
      </c>
      <c r="AA31" s="550"/>
      <c r="AB31" s="550"/>
      <c r="AC31" s="550"/>
      <c r="AD31" s="550">
        <v>0.4</v>
      </c>
      <c r="AE31" s="550">
        <v>0.4</v>
      </c>
      <c r="AF31" s="550">
        <v>0.4</v>
      </c>
      <c r="AG31" s="550"/>
      <c r="AH31" s="550"/>
      <c r="AI31" s="550"/>
      <c r="AJ31" s="550">
        <v>0.4</v>
      </c>
      <c r="AK31" s="550">
        <v>0.4</v>
      </c>
      <c r="AL31" s="550">
        <v>0.4</v>
      </c>
      <c r="AM31" s="550"/>
      <c r="AN31" s="550"/>
      <c r="AO31" s="550"/>
      <c r="AP31" s="550"/>
      <c r="AQ31" s="550"/>
      <c r="AR31" s="550"/>
      <c r="AS31" s="550"/>
      <c r="AT31" s="550">
        <v>0.4</v>
      </c>
      <c r="AU31" s="550">
        <v>0.4</v>
      </c>
      <c r="AV31" s="550">
        <v>0.4</v>
      </c>
      <c r="AW31" s="550">
        <v>0.4</v>
      </c>
      <c r="AX31" s="550">
        <v>0.4</v>
      </c>
      <c r="AY31" s="550"/>
      <c r="AZ31" s="550"/>
      <c r="BA31" s="550"/>
      <c r="BB31" s="550"/>
      <c r="BC31" s="550"/>
      <c r="BD31" s="550"/>
      <c r="BE31" s="550"/>
      <c r="BF31" s="550"/>
      <c r="BG31" s="550"/>
      <c r="BH31" s="550">
        <v>0.4</v>
      </c>
      <c r="BI31" s="550">
        <v>0.4</v>
      </c>
      <c r="BJ31" s="550">
        <v>0.4</v>
      </c>
    </row>
    <row r="32" spans="1:62" s="501" customFormat="1" ht="18">
      <c r="A32" s="498" t="s">
        <v>396</v>
      </c>
      <c r="B32" s="518" t="s">
        <v>881</v>
      </c>
      <c r="C32" s="550">
        <v>1</v>
      </c>
      <c r="D32" s="550">
        <v>1</v>
      </c>
      <c r="E32" s="550">
        <v>1</v>
      </c>
      <c r="F32" s="550">
        <v>1</v>
      </c>
      <c r="G32" s="550">
        <v>1</v>
      </c>
      <c r="H32" s="550">
        <v>1</v>
      </c>
      <c r="I32" s="550">
        <v>2</v>
      </c>
      <c r="J32" s="550">
        <v>2</v>
      </c>
      <c r="K32" s="550">
        <v>2</v>
      </c>
      <c r="L32" s="550">
        <v>2</v>
      </c>
      <c r="M32" s="550">
        <v>2</v>
      </c>
      <c r="N32" s="550">
        <v>2</v>
      </c>
      <c r="O32" s="550">
        <v>2</v>
      </c>
      <c r="P32" s="550">
        <v>2</v>
      </c>
      <c r="Q32" s="550">
        <v>2</v>
      </c>
      <c r="R32" s="550">
        <v>3</v>
      </c>
      <c r="S32" s="550">
        <v>3</v>
      </c>
      <c r="T32" s="550">
        <v>3</v>
      </c>
      <c r="U32" s="550">
        <v>3</v>
      </c>
      <c r="V32" s="550">
        <v>3</v>
      </c>
      <c r="W32" s="550">
        <v>3</v>
      </c>
      <c r="X32" s="550">
        <v>3</v>
      </c>
      <c r="Y32" s="550">
        <v>3</v>
      </c>
      <c r="Z32" s="550">
        <v>3</v>
      </c>
      <c r="AA32" s="550">
        <v>3</v>
      </c>
      <c r="AB32" s="550">
        <v>3</v>
      </c>
      <c r="AC32" s="550">
        <v>3</v>
      </c>
      <c r="AD32" s="550">
        <v>3</v>
      </c>
      <c r="AE32" s="550">
        <v>3</v>
      </c>
      <c r="AF32" s="550">
        <v>3</v>
      </c>
      <c r="AG32" s="550">
        <v>5</v>
      </c>
      <c r="AH32" s="550">
        <v>5</v>
      </c>
      <c r="AI32" s="550">
        <v>5</v>
      </c>
      <c r="AJ32" s="550">
        <v>5</v>
      </c>
      <c r="AK32" s="550">
        <v>5</v>
      </c>
      <c r="AL32" s="550">
        <v>5</v>
      </c>
      <c r="AM32" s="550">
        <v>5</v>
      </c>
      <c r="AN32" s="550">
        <v>5</v>
      </c>
      <c r="AO32" s="550">
        <v>5</v>
      </c>
      <c r="AP32" s="550">
        <v>5</v>
      </c>
      <c r="AQ32" s="550">
        <v>5</v>
      </c>
      <c r="AR32" s="550">
        <v>5</v>
      </c>
      <c r="AS32" s="550">
        <v>5</v>
      </c>
      <c r="AT32" s="550">
        <v>5</v>
      </c>
      <c r="AU32" s="550">
        <v>5</v>
      </c>
      <c r="AV32" s="550">
        <v>5</v>
      </c>
      <c r="AW32" s="550">
        <v>5</v>
      </c>
      <c r="AX32" s="550">
        <v>5</v>
      </c>
      <c r="AY32" s="550">
        <v>5</v>
      </c>
      <c r="AZ32" s="550">
        <v>5</v>
      </c>
      <c r="BA32" s="550">
        <v>5</v>
      </c>
      <c r="BB32" s="550">
        <v>5</v>
      </c>
      <c r="BC32" s="550">
        <v>5</v>
      </c>
      <c r="BD32" s="550">
        <v>5</v>
      </c>
      <c r="BE32" s="550">
        <v>5</v>
      </c>
      <c r="BF32" s="550">
        <v>5</v>
      </c>
      <c r="BG32" s="550">
        <v>5</v>
      </c>
      <c r="BH32" s="550">
        <v>5</v>
      </c>
      <c r="BI32" s="550">
        <v>5</v>
      </c>
      <c r="BJ32" s="550">
        <v>5</v>
      </c>
    </row>
    <row r="33" spans="1:62" s="501" customFormat="1" ht="18">
      <c r="A33" s="498" t="s">
        <v>398</v>
      </c>
      <c r="B33" s="518" t="s">
        <v>787</v>
      </c>
      <c r="C33" s="550" t="s">
        <v>399</v>
      </c>
      <c r="D33" s="550" t="s">
        <v>399</v>
      </c>
      <c r="E33" s="550" t="s">
        <v>399</v>
      </c>
      <c r="F33" s="550" t="s">
        <v>399</v>
      </c>
      <c r="G33" s="550" t="s">
        <v>399</v>
      </c>
      <c r="H33" s="550" t="s">
        <v>399</v>
      </c>
      <c r="I33" s="550" t="s">
        <v>400</v>
      </c>
      <c r="J33" s="550" t="s">
        <v>400</v>
      </c>
      <c r="K33" s="550" t="s">
        <v>400</v>
      </c>
      <c r="L33" s="550" t="s">
        <v>400</v>
      </c>
      <c r="M33" s="550" t="s">
        <v>400</v>
      </c>
      <c r="N33" s="550" t="s">
        <v>400</v>
      </c>
      <c r="O33" s="550" t="s">
        <v>400</v>
      </c>
      <c r="P33" s="550" t="s">
        <v>400</v>
      </c>
      <c r="Q33" s="550" t="s">
        <v>400</v>
      </c>
      <c r="R33" s="550" t="s">
        <v>401</v>
      </c>
      <c r="S33" s="550" t="s">
        <v>401</v>
      </c>
      <c r="T33" s="550" t="s">
        <v>401</v>
      </c>
      <c r="U33" s="550" t="s">
        <v>401</v>
      </c>
      <c r="V33" s="550" t="s">
        <v>401</v>
      </c>
      <c r="W33" s="550" t="s">
        <v>401</v>
      </c>
      <c r="X33" s="550" t="s">
        <v>401</v>
      </c>
      <c r="Y33" s="550" t="s">
        <v>401</v>
      </c>
      <c r="Z33" s="550" t="s">
        <v>401</v>
      </c>
      <c r="AA33" s="550" t="s">
        <v>401</v>
      </c>
      <c r="AB33" s="550" t="s">
        <v>401</v>
      </c>
      <c r="AC33" s="550" t="s">
        <v>401</v>
      </c>
      <c r="AD33" s="550" t="s">
        <v>401</v>
      </c>
      <c r="AE33" s="550" t="s">
        <v>401</v>
      </c>
      <c r="AF33" s="550" t="s">
        <v>401</v>
      </c>
      <c r="AG33" s="550" t="s">
        <v>402</v>
      </c>
      <c r="AH33" s="550" t="s">
        <v>402</v>
      </c>
      <c r="AI33" s="550" t="s">
        <v>402</v>
      </c>
      <c r="AJ33" s="550" t="s">
        <v>402</v>
      </c>
      <c r="AK33" s="550" t="s">
        <v>402</v>
      </c>
      <c r="AL33" s="550" t="s">
        <v>402</v>
      </c>
      <c r="AM33" s="550" t="s">
        <v>402</v>
      </c>
      <c r="AN33" s="550" t="s">
        <v>402</v>
      </c>
      <c r="AO33" s="550" t="s">
        <v>402</v>
      </c>
      <c r="AP33" s="550" t="s">
        <v>402</v>
      </c>
      <c r="AQ33" s="550" t="s">
        <v>402</v>
      </c>
      <c r="AR33" s="550" t="s">
        <v>402</v>
      </c>
      <c r="AS33" s="550" t="s">
        <v>402</v>
      </c>
      <c r="AT33" s="550" t="s">
        <v>402</v>
      </c>
      <c r="AU33" s="550" t="s">
        <v>402</v>
      </c>
      <c r="AV33" s="550" t="s">
        <v>402</v>
      </c>
      <c r="AW33" s="550" t="s">
        <v>402</v>
      </c>
      <c r="AX33" s="550" t="s">
        <v>402</v>
      </c>
      <c r="AY33" s="550" t="s">
        <v>402</v>
      </c>
      <c r="AZ33" s="550" t="s">
        <v>402</v>
      </c>
      <c r="BA33" s="550" t="s">
        <v>402</v>
      </c>
      <c r="BB33" s="550" t="s">
        <v>402</v>
      </c>
      <c r="BC33" s="550" t="s">
        <v>402</v>
      </c>
      <c r="BD33" s="550" t="s">
        <v>402</v>
      </c>
      <c r="BE33" s="550" t="s">
        <v>402</v>
      </c>
      <c r="BF33" s="550" t="s">
        <v>402</v>
      </c>
      <c r="BG33" s="550" t="s">
        <v>402</v>
      </c>
      <c r="BH33" s="550" t="s">
        <v>402</v>
      </c>
      <c r="BI33" s="550" t="s">
        <v>402</v>
      </c>
      <c r="BJ33" s="550" t="s">
        <v>402</v>
      </c>
    </row>
    <row r="34" spans="1:62" s="502" customFormat="1" ht="18">
      <c r="A34" s="496" t="s">
        <v>638</v>
      </c>
      <c r="B34" s="516" t="s">
        <v>785</v>
      </c>
      <c r="C34" s="550"/>
      <c r="D34" s="550"/>
      <c r="E34" s="550"/>
      <c r="F34" s="550"/>
      <c r="G34" s="550"/>
      <c r="H34" s="550"/>
      <c r="I34" s="550"/>
      <c r="J34" s="550"/>
      <c r="K34" s="550">
        <v>2</v>
      </c>
      <c r="L34" s="550">
        <v>2</v>
      </c>
      <c r="M34" s="550">
        <v>2</v>
      </c>
      <c r="N34" s="550">
        <v>2</v>
      </c>
      <c r="O34" s="550">
        <v>2</v>
      </c>
      <c r="P34" s="550">
        <v>2</v>
      </c>
      <c r="Q34" s="550">
        <v>2</v>
      </c>
      <c r="R34" s="550">
        <v>2</v>
      </c>
      <c r="S34" s="550">
        <v>2</v>
      </c>
      <c r="T34" s="550">
        <v>2</v>
      </c>
      <c r="U34" s="550"/>
      <c r="V34" s="550"/>
      <c r="W34" s="550"/>
      <c r="X34" s="550">
        <v>2.4</v>
      </c>
      <c r="Y34" s="550">
        <v>2.4</v>
      </c>
      <c r="Z34" s="550">
        <v>2.4</v>
      </c>
      <c r="AA34" s="550"/>
      <c r="AB34" s="550"/>
      <c r="AC34" s="550"/>
      <c r="AD34" s="550">
        <v>2.4</v>
      </c>
      <c r="AE34" s="550">
        <v>2.4</v>
      </c>
      <c r="AF34" s="550">
        <v>2.4</v>
      </c>
      <c r="AG34" s="550"/>
      <c r="AH34" s="550"/>
      <c r="AI34" s="550"/>
      <c r="AJ34" s="550">
        <v>2.4</v>
      </c>
      <c r="AK34" s="550">
        <v>2.4</v>
      </c>
      <c r="AL34" s="550">
        <v>2.4</v>
      </c>
      <c r="AM34" s="550"/>
      <c r="AN34" s="550"/>
      <c r="AO34" s="550"/>
      <c r="AP34" s="550"/>
      <c r="AQ34" s="550"/>
      <c r="AR34" s="550"/>
      <c r="AS34" s="550"/>
      <c r="AT34" s="550">
        <v>2.4</v>
      </c>
      <c r="AU34" s="550">
        <v>2.4</v>
      </c>
      <c r="AV34" s="550">
        <v>2.4</v>
      </c>
      <c r="AW34" s="550">
        <v>2.4</v>
      </c>
      <c r="AX34" s="550">
        <v>2.4</v>
      </c>
      <c r="AY34" s="550"/>
      <c r="AZ34" s="550"/>
      <c r="BA34" s="550"/>
      <c r="BB34" s="550"/>
      <c r="BC34" s="550"/>
      <c r="BD34" s="550"/>
      <c r="BE34" s="550"/>
      <c r="BF34" s="550"/>
      <c r="BG34" s="550"/>
      <c r="BH34" s="550">
        <v>2.4</v>
      </c>
      <c r="BI34" s="550">
        <v>2.4</v>
      </c>
      <c r="BJ34" s="550">
        <v>2.4</v>
      </c>
    </row>
    <row r="35" spans="1:62" s="500" customFormat="1" ht="18">
      <c r="A35" s="499" t="s">
        <v>639</v>
      </c>
      <c r="B35" s="517" t="s">
        <v>786</v>
      </c>
      <c r="C35" s="550"/>
      <c r="D35" s="550"/>
      <c r="E35" s="550"/>
      <c r="F35" s="550"/>
      <c r="G35" s="550"/>
      <c r="H35" s="550"/>
      <c r="I35" s="550"/>
      <c r="J35" s="550"/>
      <c r="K35" s="550">
        <v>0.05</v>
      </c>
      <c r="L35" s="550">
        <v>0.05</v>
      </c>
      <c r="M35" s="550">
        <v>0.05</v>
      </c>
      <c r="N35" s="550">
        <v>0.05</v>
      </c>
      <c r="O35" s="550">
        <v>0.05</v>
      </c>
      <c r="P35" s="550">
        <v>0.05</v>
      </c>
      <c r="Q35" s="550">
        <v>0.05</v>
      </c>
      <c r="R35" s="550">
        <v>0.05</v>
      </c>
      <c r="S35" s="550">
        <v>0.05</v>
      </c>
      <c r="T35" s="550">
        <v>0.05</v>
      </c>
      <c r="U35" s="550"/>
      <c r="V35" s="550"/>
      <c r="W35" s="550"/>
      <c r="X35" s="550">
        <v>0.06</v>
      </c>
      <c r="Y35" s="550">
        <v>0.06</v>
      </c>
      <c r="Z35" s="550">
        <v>0.06</v>
      </c>
      <c r="AA35" s="550"/>
      <c r="AB35" s="550"/>
      <c r="AC35" s="550"/>
      <c r="AD35" s="550">
        <v>0.06</v>
      </c>
      <c r="AE35" s="550">
        <v>0.06</v>
      </c>
      <c r="AF35" s="550">
        <v>0.06</v>
      </c>
      <c r="AG35" s="550"/>
      <c r="AH35" s="550"/>
      <c r="AI35" s="550"/>
      <c r="AJ35" s="550">
        <v>0.06</v>
      </c>
      <c r="AK35" s="550">
        <v>0.06</v>
      </c>
      <c r="AL35" s="550">
        <v>0.06</v>
      </c>
      <c r="AM35" s="550"/>
      <c r="AN35" s="550"/>
      <c r="AO35" s="550"/>
      <c r="AP35" s="550"/>
      <c r="AQ35" s="550"/>
      <c r="AR35" s="550"/>
      <c r="AS35" s="550"/>
      <c r="AT35" s="550">
        <v>0.06</v>
      </c>
      <c r="AU35" s="550">
        <v>0.06</v>
      </c>
      <c r="AV35" s="550">
        <v>0.06</v>
      </c>
      <c r="AW35" s="550">
        <v>0.06</v>
      </c>
      <c r="AX35" s="550">
        <v>0.06</v>
      </c>
      <c r="AY35" s="550"/>
      <c r="AZ35" s="550"/>
      <c r="BA35" s="550"/>
      <c r="BB35" s="550"/>
      <c r="BC35" s="550"/>
      <c r="BD35" s="550"/>
      <c r="BE35" s="550"/>
      <c r="BF35" s="550"/>
      <c r="BG35" s="550"/>
      <c r="BH35" s="550">
        <v>0.06</v>
      </c>
      <c r="BI35" s="550">
        <v>0.06</v>
      </c>
      <c r="BJ35" s="550">
        <v>0.06</v>
      </c>
    </row>
    <row r="36" spans="1:62" s="500" customFormat="1" ht="18">
      <c r="A36" s="499" t="s">
        <v>641</v>
      </c>
      <c r="B36" s="517" t="s">
        <v>787</v>
      </c>
      <c r="C36" s="550"/>
      <c r="D36" s="550"/>
      <c r="E36" s="550"/>
      <c r="F36" s="550"/>
      <c r="G36" s="550"/>
      <c r="H36" s="550"/>
      <c r="I36" s="550"/>
      <c r="J36" s="550"/>
      <c r="K36" s="550">
        <v>3.38</v>
      </c>
      <c r="L36" s="550">
        <v>3.38</v>
      </c>
      <c r="M36" s="550">
        <v>3.38</v>
      </c>
      <c r="N36" s="550">
        <v>3.38</v>
      </c>
      <c r="O36" s="550">
        <v>3.38</v>
      </c>
      <c r="P36" s="550">
        <v>3.38</v>
      </c>
      <c r="Q36" s="550">
        <v>3.38</v>
      </c>
      <c r="R36" s="550">
        <v>3.38</v>
      </c>
      <c r="S36" s="550">
        <v>3.38</v>
      </c>
      <c r="T36" s="550">
        <v>3.38</v>
      </c>
      <c r="U36" s="550"/>
      <c r="V36" s="550"/>
      <c r="W36" s="550"/>
      <c r="X36" s="550">
        <v>4.68</v>
      </c>
      <c r="Y36" s="550">
        <v>4.68</v>
      </c>
      <c r="Z36" s="550">
        <v>4.68</v>
      </c>
      <c r="AA36" s="550"/>
      <c r="AB36" s="550"/>
      <c r="AC36" s="550"/>
      <c r="AD36" s="550">
        <v>4.68</v>
      </c>
      <c r="AE36" s="550">
        <v>4.68</v>
      </c>
      <c r="AF36" s="550">
        <v>4.68</v>
      </c>
      <c r="AG36" s="550"/>
      <c r="AH36" s="550"/>
      <c r="AI36" s="550"/>
      <c r="AJ36" s="550">
        <v>4.68</v>
      </c>
      <c r="AK36" s="550">
        <v>4.68</v>
      </c>
      <c r="AL36" s="550">
        <v>4.68</v>
      </c>
      <c r="AM36" s="550"/>
      <c r="AN36" s="550"/>
      <c r="AO36" s="550"/>
      <c r="AP36" s="550"/>
      <c r="AQ36" s="550"/>
      <c r="AR36" s="550"/>
      <c r="AS36" s="550"/>
      <c r="AT36" s="550">
        <v>4.68</v>
      </c>
      <c r="AU36" s="550">
        <v>4.68</v>
      </c>
      <c r="AV36" s="550">
        <v>4.68</v>
      </c>
      <c r="AW36" s="550">
        <v>4.68</v>
      </c>
      <c r="AX36" s="550">
        <v>4.68</v>
      </c>
      <c r="AY36" s="550"/>
      <c r="AZ36" s="550"/>
      <c r="BA36" s="550"/>
      <c r="BB36" s="550"/>
      <c r="BC36" s="550"/>
      <c r="BD36" s="550"/>
      <c r="BE36" s="550"/>
      <c r="BF36" s="550"/>
      <c r="BG36" s="550"/>
      <c r="BH36" s="550">
        <v>4.68</v>
      </c>
      <c r="BI36" s="550">
        <v>4.68</v>
      </c>
      <c r="BJ36" s="550">
        <v>4.68</v>
      </c>
    </row>
    <row r="37" spans="1:62" s="501" customFormat="1" ht="18">
      <c r="A37" s="498" t="s">
        <v>788</v>
      </c>
      <c r="B37" s="518" t="s">
        <v>653</v>
      </c>
      <c r="C37" s="550"/>
      <c r="D37" s="550"/>
      <c r="E37" s="550"/>
      <c r="F37" s="550"/>
      <c r="G37" s="550"/>
      <c r="H37" s="550"/>
      <c r="I37" s="550"/>
      <c r="J37" s="550"/>
      <c r="K37" s="550">
        <v>1</v>
      </c>
      <c r="L37" s="550">
        <v>1</v>
      </c>
      <c r="M37" s="550">
        <v>1</v>
      </c>
      <c r="N37" s="550">
        <v>1</v>
      </c>
      <c r="O37" s="550">
        <v>1</v>
      </c>
      <c r="P37" s="550">
        <v>1</v>
      </c>
      <c r="Q37" s="550">
        <v>1</v>
      </c>
      <c r="R37" s="550">
        <v>1</v>
      </c>
      <c r="S37" s="550">
        <v>1</v>
      </c>
      <c r="T37" s="550">
        <v>1</v>
      </c>
      <c r="U37" s="550"/>
      <c r="V37" s="550"/>
      <c r="W37" s="550"/>
      <c r="X37" s="550">
        <v>1</v>
      </c>
      <c r="Y37" s="550">
        <v>1</v>
      </c>
      <c r="Z37" s="550">
        <v>1</v>
      </c>
      <c r="AA37" s="550"/>
      <c r="AB37" s="550"/>
      <c r="AC37" s="550"/>
      <c r="AD37" s="550">
        <v>1</v>
      </c>
      <c r="AE37" s="550">
        <v>1</v>
      </c>
      <c r="AF37" s="550">
        <v>1</v>
      </c>
      <c r="AG37" s="550"/>
      <c r="AH37" s="550"/>
      <c r="AI37" s="550"/>
      <c r="AJ37" s="550">
        <v>1</v>
      </c>
      <c r="AK37" s="550">
        <v>1</v>
      </c>
      <c r="AL37" s="550">
        <v>1</v>
      </c>
      <c r="AM37" s="550"/>
      <c r="AN37" s="550"/>
      <c r="AO37" s="550"/>
      <c r="AP37" s="550"/>
      <c r="AQ37" s="550"/>
      <c r="AR37" s="550"/>
      <c r="AS37" s="550"/>
      <c r="AT37" s="550">
        <v>1</v>
      </c>
      <c r="AU37" s="550">
        <v>1</v>
      </c>
      <c r="AV37" s="550">
        <v>2</v>
      </c>
      <c r="AW37" s="550">
        <v>2</v>
      </c>
      <c r="AX37" s="550">
        <v>2</v>
      </c>
      <c r="AY37" s="550"/>
      <c r="AZ37" s="550"/>
      <c r="BA37" s="550"/>
      <c r="BB37" s="550"/>
      <c r="BC37" s="550"/>
      <c r="BD37" s="550"/>
      <c r="BE37" s="550"/>
      <c r="BF37" s="550"/>
      <c r="BG37" s="550"/>
      <c r="BH37" s="550">
        <v>2</v>
      </c>
      <c r="BI37" s="550">
        <v>2</v>
      </c>
      <c r="BJ37" s="550">
        <v>2</v>
      </c>
    </row>
    <row r="38" spans="1:62" s="501" customFormat="1" ht="18">
      <c r="A38" s="498" t="s">
        <v>789</v>
      </c>
      <c r="B38" s="518" t="s">
        <v>653</v>
      </c>
      <c r="C38" s="550"/>
      <c r="D38" s="550"/>
      <c r="E38" s="550"/>
      <c r="F38" s="550"/>
      <c r="G38" s="550"/>
      <c r="H38" s="550"/>
      <c r="I38" s="550"/>
      <c r="J38" s="550"/>
      <c r="K38" s="550">
        <v>0</v>
      </c>
      <c r="L38" s="550">
        <v>0</v>
      </c>
      <c r="M38" s="550">
        <v>0</v>
      </c>
      <c r="N38" s="550">
        <v>0</v>
      </c>
      <c r="O38" s="550">
        <v>0</v>
      </c>
      <c r="P38" s="550">
        <v>0</v>
      </c>
      <c r="Q38" s="550">
        <v>0</v>
      </c>
      <c r="R38" s="550">
        <v>0</v>
      </c>
      <c r="S38" s="550">
        <v>0</v>
      </c>
      <c r="T38" s="550">
        <v>0</v>
      </c>
      <c r="U38" s="550"/>
      <c r="V38" s="550"/>
      <c r="W38" s="550"/>
      <c r="X38" s="550">
        <v>1</v>
      </c>
      <c r="Y38" s="550">
        <v>1</v>
      </c>
      <c r="Z38" s="550">
        <v>1</v>
      </c>
      <c r="AA38" s="550"/>
      <c r="AB38" s="550"/>
      <c r="AC38" s="550"/>
      <c r="AD38" s="550">
        <v>1</v>
      </c>
      <c r="AE38" s="550">
        <v>1</v>
      </c>
      <c r="AF38" s="550">
        <v>1</v>
      </c>
      <c r="AG38" s="550"/>
      <c r="AH38" s="550"/>
      <c r="AI38" s="550"/>
      <c r="AJ38" s="550">
        <v>1</v>
      </c>
      <c r="AK38" s="550">
        <v>1</v>
      </c>
      <c r="AL38" s="550">
        <v>1</v>
      </c>
      <c r="AM38" s="550"/>
      <c r="AN38" s="550"/>
      <c r="AO38" s="550"/>
      <c r="AP38" s="550"/>
      <c r="AQ38" s="550"/>
      <c r="AR38" s="550"/>
      <c r="AS38" s="550"/>
      <c r="AT38" s="550">
        <v>1</v>
      </c>
      <c r="AU38" s="550">
        <v>1</v>
      </c>
      <c r="AV38" s="550">
        <v>0</v>
      </c>
      <c r="AW38" s="550">
        <v>0</v>
      </c>
      <c r="AX38" s="550">
        <v>0</v>
      </c>
      <c r="AY38" s="550"/>
      <c r="AZ38" s="550"/>
      <c r="BA38" s="550"/>
      <c r="BB38" s="550"/>
      <c r="BC38" s="550"/>
      <c r="BD38" s="550"/>
      <c r="BE38" s="550"/>
      <c r="BF38" s="550"/>
      <c r="BG38" s="550"/>
      <c r="BH38" s="550">
        <v>0</v>
      </c>
      <c r="BI38" s="550">
        <v>0</v>
      </c>
      <c r="BJ38" s="550">
        <v>0</v>
      </c>
    </row>
    <row r="39" spans="1:62" s="501" customFormat="1" ht="18">
      <c r="A39" s="498" t="s">
        <v>655</v>
      </c>
      <c r="B39" s="518" t="s">
        <v>537</v>
      </c>
      <c r="C39" s="550"/>
      <c r="D39" s="550"/>
      <c r="E39" s="550"/>
      <c r="F39" s="550"/>
      <c r="G39" s="550"/>
      <c r="H39" s="550"/>
      <c r="I39" s="550"/>
      <c r="J39" s="550"/>
      <c r="K39" s="550">
        <v>0.7</v>
      </c>
      <c r="L39" s="550">
        <v>0.8</v>
      </c>
      <c r="M39" s="550">
        <v>0.8</v>
      </c>
      <c r="N39" s="550">
        <v>0.8</v>
      </c>
      <c r="O39" s="550">
        <v>0.8</v>
      </c>
      <c r="P39" s="550">
        <v>0.8</v>
      </c>
      <c r="Q39" s="550">
        <v>0.8</v>
      </c>
      <c r="R39" s="550">
        <v>1</v>
      </c>
      <c r="S39" s="550">
        <v>1</v>
      </c>
      <c r="T39" s="550">
        <v>1</v>
      </c>
      <c r="U39" s="550"/>
      <c r="V39" s="550"/>
      <c r="W39" s="550"/>
      <c r="X39" s="550">
        <v>1</v>
      </c>
      <c r="Y39" s="550">
        <v>1</v>
      </c>
      <c r="Z39" s="550">
        <v>1</v>
      </c>
      <c r="AA39" s="550"/>
      <c r="AB39" s="550"/>
      <c r="AC39" s="550"/>
      <c r="AD39" s="550">
        <v>1.2</v>
      </c>
      <c r="AE39" s="550">
        <v>1.2</v>
      </c>
      <c r="AF39" s="550">
        <v>1.2</v>
      </c>
      <c r="AG39" s="550"/>
      <c r="AH39" s="550"/>
      <c r="AI39" s="550"/>
      <c r="AJ39" s="550">
        <v>1.2</v>
      </c>
      <c r="AK39" s="550">
        <v>1.2</v>
      </c>
      <c r="AL39" s="550">
        <v>1.2</v>
      </c>
      <c r="AM39" s="550"/>
      <c r="AN39" s="550"/>
      <c r="AO39" s="550"/>
      <c r="AP39" s="550"/>
      <c r="AQ39" s="550"/>
      <c r="AR39" s="550"/>
      <c r="AS39" s="550"/>
      <c r="AT39" s="550">
        <v>1.3</v>
      </c>
      <c r="AU39" s="550">
        <v>1.3</v>
      </c>
      <c r="AV39" s="550">
        <f t="shared" ref="AV39:AX40" si="2">X39</f>
        <v>1</v>
      </c>
      <c r="AW39" s="550">
        <f t="shared" si="2"/>
        <v>1</v>
      </c>
      <c r="AX39" s="550">
        <f t="shared" si="2"/>
        <v>1</v>
      </c>
      <c r="AY39" s="550"/>
      <c r="AZ39" s="550"/>
      <c r="BA39" s="550"/>
      <c r="BB39" s="550"/>
      <c r="BC39" s="550"/>
      <c r="BD39" s="550"/>
      <c r="BE39" s="550"/>
      <c r="BF39" s="550"/>
      <c r="BG39" s="550"/>
      <c r="BH39" s="550">
        <f t="shared" ref="BH39:BJ40" si="3">AD39</f>
        <v>1.2</v>
      </c>
      <c r="BI39" s="550">
        <f t="shared" si="3"/>
        <v>1.2</v>
      </c>
      <c r="BJ39" s="550">
        <f t="shared" si="3"/>
        <v>1.2</v>
      </c>
    </row>
    <row r="40" spans="1:62" s="501" customFormat="1" ht="18">
      <c r="A40" s="498" t="s">
        <v>658</v>
      </c>
      <c r="B40" s="518" t="s">
        <v>537</v>
      </c>
      <c r="C40" s="550"/>
      <c r="D40" s="550"/>
      <c r="E40" s="550"/>
      <c r="F40" s="550"/>
      <c r="G40" s="550"/>
      <c r="H40" s="550"/>
      <c r="I40" s="550"/>
      <c r="J40" s="550"/>
      <c r="K40" s="550">
        <v>0.8</v>
      </c>
      <c r="L40" s="550">
        <v>0.8</v>
      </c>
      <c r="M40" s="550">
        <v>0.8</v>
      </c>
      <c r="N40" s="550">
        <v>0.8</v>
      </c>
      <c r="O40" s="550">
        <v>0.8</v>
      </c>
      <c r="P40" s="550">
        <v>0.8</v>
      </c>
      <c r="Q40" s="550">
        <v>0.8</v>
      </c>
      <c r="R40" s="550">
        <v>0.8</v>
      </c>
      <c r="S40" s="550">
        <v>0.8</v>
      </c>
      <c r="T40" s="550">
        <v>0.8</v>
      </c>
      <c r="U40" s="550"/>
      <c r="V40" s="550"/>
      <c r="W40" s="550"/>
      <c r="X40" s="550">
        <v>0.8</v>
      </c>
      <c r="Y40" s="550">
        <v>0.8</v>
      </c>
      <c r="Z40" s="550">
        <v>0.8</v>
      </c>
      <c r="AA40" s="550"/>
      <c r="AB40" s="550"/>
      <c r="AC40" s="550"/>
      <c r="AD40" s="550">
        <v>0.8</v>
      </c>
      <c r="AE40" s="550">
        <v>0.8</v>
      </c>
      <c r="AF40" s="550">
        <v>0.8</v>
      </c>
      <c r="AG40" s="550"/>
      <c r="AH40" s="550"/>
      <c r="AI40" s="550"/>
      <c r="AJ40" s="550">
        <v>1.2</v>
      </c>
      <c r="AK40" s="550">
        <v>1.2</v>
      </c>
      <c r="AL40" s="550">
        <v>1.2</v>
      </c>
      <c r="AM40" s="550"/>
      <c r="AN40" s="550"/>
      <c r="AO40" s="550"/>
      <c r="AP40" s="550"/>
      <c r="AQ40" s="550"/>
      <c r="AR40" s="550"/>
      <c r="AS40" s="550"/>
      <c r="AT40" s="550">
        <v>1.3</v>
      </c>
      <c r="AU40" s="550">
        <v>1.3</v>
      </c>
      <c r="AV40" s="550">
        <f t="shared" si="2"/>
        <v>0.8</v>
      </c>
      <c r="AW40" s="550">
        <f t="shared" si="2"/>
        <v>0.8</v>
      </c>
      <c r="AX40" s="550">
        <f t="shared" si="2"/>
        <v>0.8</v>
      </c>
      <c r="AY40" s="550"/>
      <c r="AZ40" s="550"/>
      <c r="BA40" s="550"/>
      <c r="BB40" s="550"/>
      <c r="BC40" s="550"/>
      <c r="BD40" s="550"/>
      <c r="BE40" s="550"/>
      <c r="BF40" s="550"/>
      <c r="BG40" s="550"/>
      <c r="BH40" s="550">
        <f t="shared" si="3"/>
        <v>0.8</v>
      </c>
      <c r="BI40" s="550">
        <f t="shared" si="3"/>
        <v>0.8</v>
      </c>
      <c r="BJ40" s="550">
        <f t="shared" si="3"/>
        <v>0.8</v>
      </c>
    </row>
    <row r="41" spans="1:62" ht="18">
      <c r="A41" s="498" t="s">
        <v>878</v>
      </c>
      <c r="B41" s="515" t="s">
        <v>646</v>
      </c>
      <c r="C41" s="550">
        <v>300</v>
      </c>
      <c r="D41" s="550">
        <v>300</v>
      </c>
      <c r="E41" s="550">
        <v>300</v>
      </c>
      <c r="F41" s="550">
        <v>400</v>
      </c>
      <c r="G41" s="550">
        <v>400</v>
      </c>
      <c r="H41" s="550">
        <v>400</v>
      </c>
      <c r="I41" s="550">
        <v>500</v>
      </c>
      <c r="J41" s="550">
        <v>500</v>
      </c>
      <c r="K41" s="550">
        <v>500</v>
      </c>
      <c r="L41" s="550">
        <v>600</v>
      </c>
      <c r="M41" s="550">
        <v>600</v>
      </c>
      <c r="N41" s="550">
        <v>600</v>
      </c>
      <c r="O41" s="550">
        <v>600</v>
      </c>
      <c r="P41" s="550">
        <v>600</v>
      </c>
      <c r="Q41" s="550">
        <v>600</v>
      </c>
      <c r="R41" s="550">
        <v>600</v>
      </c>
      <c r="S41" s="550">
        <v>600</v>
      </c>
      <c r="T41" s="550">
        <v>600</v>
      </c>
      <c r="U41" s="550">
        <v>600</v>
      </c>
      <c r="V41" s="550">
        <v>600</v>
      </c>
      <c r="W41" s="550">
        <v>600</v>
      </c>
      <c r="X41" s="550">
        <v>600</v>
      </c>
      <c r="Y41" s="550">
        <v>600</v>
      </c>
      <c r="Z41" s="550">
        <v>600</v>
      </c>
      <c r="AA41" s="550">
        <v>700</v>
      </c>
      <c r="AB41" s="550">
        <v>700</v>
      </c>
      <c r="AC41" s="550">
        <v>700</v>
      </c>
      <c r="AD41" s="550">
        <v>700</v>
      </c>
      <c r="AE41" s="550">
        <v>700</v>
      </c>
      <c r="AF41" s="550">
        <v>700</v>
      </c>
      <c r="AG41" s="550">
        <v>700</v>
      </c>
      <c r="AH41" s="550">
        <v>700</v>
      </c>
      <c r="AI41" s="550">
        <v>700</v>
      </c>
      <c r="AJ41" s="550">
        <v>700</v>
      </c>
      <c r="AK41" s="550">
        <v>700</v>
      </c>
      <c r="AL41" s="550">
        <v>700</v>
      </c>
      <c r="AM41" s="550">
        <v>700</v>
      </c>
      <c r="AN41" s="550">
        <v>700</v>
      </c>
      <c r="AO41" s="550">
        <v>700</v>
      </c>
      <c r="AP41" s="550">
        <v>800</v>
      </c>
      <c r="AQ41" s="550">
        <v>800</v>
      </c>
      <c r="AR41" s="550">
        <v>800</v>
      </c>
      <c r="AS41" s="550">
        <v>800</v>
      </c>
      <c r="AT41" s="550">
        <v>800</v>
      </c>
      <c r="AU41" s="550">
        <v>800</v>
      </c>
      <c r="AV41" s="550">
        <v>800</v>
      </c>
      <c r="AW41" s="550">
        <v>800</v>
      </c>
      <c r="AX41" s="550">
        <v>800</v>
      </c>
      <c r="AY41" s="550">
        <v>800</v>
      </c>
      <c r="AZ41" s="550">
        <v>800</v>
      </c>
      <c r="BA41" s="550">
        <v>800</v>
      </c>
      <c r="BB41" s="550">
        <v>800</v>
      </c>
      <c r="BC41" s="550">
        <v>800</v>
      </c>
      <c r="BD41" s="550">
        <v>800</v>
      </c>
      <c r="BE41" s="550">
        <v>900</v>
      </c>
      <c r="BF41" s="550">
        <v>900</v>
      </c>
      <c r="BG41" s="550">
        <v>900</v>
      </c>
      <c r="BH41" s="550">
        <v>900</v>
      </c>
      <c r="BI41" s="550">
        <v>900</v>
      </c>
      <c r="BJ41" s="550">
        <v>900</v>
      </c>
    </row>
    <row r="42" spans="1:62" ht="18">
      <c r="A42" s="498" t="s">
        <v>790</v>
      </c>
      <c r="B42" s="515" t="s">
        <v>646</v>
      </c>
      <c r="C42" s="550"/>
      <c r="D42" s="550"/>
      <c r="E42" s="550"/>
      <c r="F42" s="550"/>
      <c r="G42" s="550"/>
      <c r="H42" s="550"/>
      <c r="I42" s="550"/>
      <c r="J42" s="550"/>
      <c r="K42" s="550">
        <v>200</v>
      </c>
      <c r="L42" s="550">
        <v>200</v>
      </c>
      <c r="M42" s="550">
        <v>200</v>
      </c>
      <c r="N42" s="550">
        <v>200</v>
      </c>
      <c r="O42" s="550">
        <v>200</v>
      </c>
      <c r="P42" s="550">
        <v>200</v>
      </c>
      <c r="Q42" s="550">
        <v>200</v>
      </c>
      <c r="R42" s="550">
        <v>200</v>
      </c>
      <c r="S42" s="550">
        <v>200</v>
      </c>
      <c r="T42" s="550">
        <v>200</v>
      </c>
      <c r="U42" s="550"/>
      <c r="V42" s="550"/>
      <c r="W42" s="550"/>
      <c r="X42" s="550">
        <v>200</v>
      </c>
      <c r="Y42" s="550">
        <v>200</v>
      </c>
      <c r="Z42" s="550">
        <v>200</v>
      </c>
      <c r="AA42" s="550"/>
      <c r="AB42" s="550"/>
      <c r="AC42" s="550"/>
      <c r="AD42" s="550">
        <v>200</v>
      </c>
      <c r="AE42" s="550">
        <v>200</v>
      </c>
      <c r="AF42" s="550">
        <v>200</v>
      </c>
      <c r="AG42" s="550"/>
      <c r="AH42" s="550"/>
      <c r="AI42" s="550"/>
      <c r="AJ42" s="550">
        <v>200</v>
      </c>
      <c r="AK42" s="550">
        <v>200</v>
      </c>
      <c r="AL42" s="550">
        <v>200</v>
      </c>
      <c r="AM42" s="550"/>
      <c r="AN42" s="550"/>
      <c r="AO42" s="550"/>
      <c r="AP42" s="550"/>
      <c r="AQ42" s="550"/>
      <c r="AR42" s="550"/>
      <c r="AS42" s="550"/>
      <c r="AT42" s="550">
        <v>200</v>
      </c>
      <c r="AU42" s="550">
        <v>200</v>
      </c>
      <c r="AV42" s="550">
        <v>200</v>
      </c>
      <c r="AW42" s="550">
        <v>200</v>
      </c>
      <c r="AX42" s="550">
        <v>200</v>
      </c>
      <c r="AY42" s="550"/>
      <c r="AZ42" s="550"/>
      <c r="BA42" s="550"/>
      <c r="BB42" s="550"/>
      <c r="BC42" s="550"/>
      <c r="BD42" s="550"/>
      <c r="BE42" s="550"/>
      <c r="BF42" s="550"/>
      <c r="BG42" s="550"/>
      <c r="BH42" s="550">
        <v>200</v>
      </c>
      <c r="BI42" s="550">
        <v>200</v>
      </c>
      <c r="BJ42" s="550">
        <v>200</v>
      </c>
    </row>
    <row r="43" spans="1:62" ht="18">
      <c r="A43" s="498" t="s">
        <v>791</v>
      </c>
      <c r="B43" s="515" t="s">
        <v>646</v>
      </c>
      <c r="C43" s="550"/>
      <c r="D43" s="550"/>
      <c r="E43" s="550"/>
      <c r="F43" s="550"/>
      <c r="G43" s="550"/>
      <c r="H43" s="550"/>
      <c r="I43" s="550"/>
      <c r="J43" s="550"/>
      <c r="K43" s="550">
        <v>200</v>
      </c>
      <c r="L43" s="550">
        <v>200</v>
      </c>
      <c r="M43" s="550">
        <v>200</v>
      </c>
      <c r="N43" s="550">
        <v>200</v>
      </c>
      <c r="O43" s="550">
        <v>200</v>
      </c>
      <c r="P43" s="550">
        <v>200</v>
      </c>
      <c r="Q43" s="550">
        <v>200</v>
      </c>
      <c r="R43" s="550">
        <v>200</v>
      </c>
      <c r="S43" s="550">
        <v>200</v>
      </c>
      <c r="T43" s="550">
        <v>200</v>
      </c>
      <c r="U43" s="550"/>
      <c r="V43" s="550"/>
      <c r="W43" s="550"/>
      <c r="X43" s="550">
        <v>200</v>
      </c>
      <c r="Y43" s="550">
        <v>200</v>
      </c>
      <c r="Z43" s="550">
        <v>200</v>
      </c>
      <c r="AA43" s="550"/>
      <c r="AB43" s="550"/>
      <c r="AC43" s="550"/>
      <c r="AD43" s="550">
        <v>200</v>
      </c>
      <c r="AE43" s="550">
        <v>200</v>
      </c>
      <c r="AF43" s="550">
        <v>200</v>
      </c>
      <c r="AG43" s="550"/>
      <c r="AH43" s="550"/>
      <c r="AI43" s="550"/>
      <c r="AJ43" s="550">
        <v>200</v>
      </c>
      <c r="AK43" s="550">
        <v>200</v>
      </c>
      <c r="AL43" s="550">
        <v>200</v>
      </c>
      <c r="AM43" s="550"/>
      <c r="AN43" s="550"/>
      <c r="AO43" s="550"/>
      <c r="AP43" s="550"/>
      <c r="AQ43" s="550"/>
      <c r="AR43" s="550"/>
      <c r="AS43" s="550"/>
      <c r="AT43" s="550">
        <v>200</v>
      </c>
      <c r="AU43" s="550">
        <v>200</v>
      </c>
      <c r="AV43" s="550">
        <v>200</v>
      </c>
      <c r="AW43" s="550">
        <v>200</v>
      </c>
      <c r="AX43" s="550">
        <v>200</v>
      </c>
      <c r="AY43" s="550"/>
      <c r="AZ43" s="550"/>
      <c r="BA43" s="550"/>
      <c r="BB43" s="550"/>
      <c r="BC43" s="550"/>
      <c r="BD43" s="550"/>
      <c r="BE43" s="550"/>
      <c r="BF43" s="550"/>
      <c r="BG43" s="550"/>
      <c r="BH43" s="550">
        <v>200</v>
      </c>
      <c r="BI43" s="550">
        <v>200</v>
      </c>
      <c r="BJ43" s="550">
        <v>200</v>
      </c>
    </row>
    <row r="44" spans="1:62" ht="18">
      <c r="A44" s="498" t="s">
        <v>792</v>
      </c>
      <c r="B44" s="515" t="s">
        <v>793</v>
      </c>
      <c r="C44" s="550"/>
      <c r="D44" s="550"/>
      <c r="E44" s="550"/>
      <c r="F44" s="550"/>
      <c r="G44" s="550"/>
      <c r="H44" s="550"/>
      <c r="I44" s="550"/>
      <c r="J44" s="550"/>
      <c r="K44" s="550">
        <v>2</v>
      </c>
      <c r="L44" s="550">
        <v>2</v>
      </c>
      <c r="M44" s="550">
        <v>2</v>
      </c>
      <c r="N44" s="550">
        <v>2</v>
      </c>
      <c r="O44" s="550">
        <v>2</v>
      </c>
      <c r="P44" s="550">
        <v>2</v>
      </c>
      <c r="Q44" s="550">
        <v>2</v>
      </c>
      <c r="R44" s="550">
        <v>2</v>
      </c>
      <c r="S44" s="550">
        <v>2</v>
      </c>
      <c r="T44" s="550">
        <v>2</v>
      </c>
      <c r="U44" s="550"/>
      <c r="V44" s="550"/>
      <c r="W44" s="550"/>
      <c r="X44" s="550">
        <v>2</v>
      </c>
      <c r="Y44" s="550">
        <v>2</v>
      </c>
      <c r="Z44" s="550">
        <v>2</v>
      </c>
      <c r="AA44" s="550"/>
      <c r="AB44" s="550"/>
      <c r="AC44" s="550"/>
      <c r="AD44" s="550">
        <v>2</v>
      </c>
      <c r="AE44" s="550">
        <v>2</v>
      </c>
      <c r="AF44" s="550">
        <v>2</v>
      </c>
      <c r="AG44" s="550"/>
      <c r="AH44" s="550"/>
      <c r="AI44" s="550"/>
      <c r="AJ44" s="550">
        <v>2</v>
      </c>
      <c r="AK44" s="550">
        <v>2</v>
      </c>
      <c r="AL44" s="550">
        <v>2</v>
      </c>
      <c r="AM44" s="550"/>
      <c r="AN44" s="550"/>
      <c r="AO44" s="550"/>
      <c r="AP44" s="550"/>
      <c r="AQ44" s="550"/>
      <c r="AR44" s="550"/>
      <c r="AS44" s="550"/>
      <c r="AT44" s="550">
        <v>2</v>
      </c>
      <c r="AU44" s="550">
        <v>2</v>
      </c>
      <c r="AV44" s="550">
        <v>2</v>
      </c>
      <c r="AW44" s="550">
        <v>2</v>
      </c>
      <c r="AX44" s="550">
        <v>2</v>
      </c>
      <c r="AY44" s="550"/>
      <c r="AZ44" s="550"/>
      <c r="BA44" s="550"/>
      <c r="BB44" s="550"/>
      <c r="BC44" s="550"/>
      <c r="BD44" s="550"/>
      <c r="BE44" s="550"/>
      <c r="BF44" s="550"/>
      <c r="BG44" s="550"/>
      <c r="BH44" s="550">
        <v>2</v>
      </c>
      <c r="BI44" s="550">
        <v>2</v>
      </c>
      <c r="BJ44" s="550">
        <v>2</v>
      </c>
    </row>
    <row r="45" spans="1:62" ht="18">
      <c r="A45" s="498" t="s">
        <v>794</v>
      </c>
      <c r="B45" s="515" t="s">
        <v>646</v>
      </c>
      <c r="C45" s="550"/>
      <c r="D45" s="550"/>
      <c r="E45" s="550"/>
      <c r="F45" s="550"/>
      <c r="G45" s="550"/>
      <c r="H45" s="550"/>
      <c r="I45" s="550"/>
      <c r="J45" s="550"/>
      <c r="K45" s="550">
        <v>200</v>
      </c>
      <c r="L45" s="550">
        <v>200</v>
      </c>
      <c r="M45" s="550">
        <v>200</v>
      </c>
      <c r="N45" s="550">
        <v>200</v>
      </c>
      <c r="O45" s="550">
        <v>200</v>
      </c>
      <c r="P45" s="550">
        <v>200</v>
      </c>
      <c r="Q45" s="550">
        <v>200</v>
      </c>
      <c r="R45" s="550">
        <v>200</v>
      </c>
      <c r="S45" s="550">
        <v>200</v>
      </c>
      <c r="T45" s="550">
        <v>200</v>
      </c>
      <c r="U45" s="550"/>
      <c r="V45" s="550"/>
      <c r="W45" s="550"/>
      <c r="X45" s="550">
        <v>200</v>
      </c>
      <c r="Y45" s="550">
        <v>200</v>
      </c>
      <c r="Z45" s="550">
        <v>200</v>
      </c>
      <c r="AA45" s="550"/>
      <c r="AB45" s="550"/>
      <c r="AC45" s="550"/>
      <c r="AD45" s="550">
        <v>200</v>
      </c>
      <c r="AE45" s="550">
        <v>200</v>
      </c>
      <c r="AF45" s="550">
        <v>200</v>
      </c>
      <c r="AG45" s="550"/>
      <c r="AH45" s="550"/>
      <c r="AI45" s="550"/>
      <c r="AJ45" s="550">
        <v>200</v>
      </c>
      <c r="AK45" s="550">
        <v>200</v>
      </c>
      <c r="AL45" s="550">
        <v>200</v>
      </c>
      <c r="AM45" s="550"/>
      <c r="AN45" s="550"/>
      <c r="AO45" s="550"/>
      <c r="AP45" s="550"/>
      <c r="AQ45" s="550"/>
      <c r="AR45" s="550"/>
      <c r="AS45" s="550"/>
      <c r="AT45" s="550">
        <v>200</v>
      </c>
      <c r="AU45" s="550">
        <v>200</v>
      </c>
      <c r="AV45" s="550">
        <v>200</v>
      </c>
      <c r="AW45" s="550">
        <v>200</v>
      </c>
      <c r="AX45" s="550">
        <v>200</v>
      </c>
      <c r="AY45" s="550"/>
      <c r="AZ45" s="550"/>
      <c r="BA45" s="550"/>
      <c r="BB45" s="550"/>
      <c r="BC45" s="550"/>
      <c r="BD45" s="550"/>
      <c r="BE45" s="550"/>
      <c r="BF45" s="550"/>
      <c r="BG45" s="550"/>
      <c r="BH45" s="550">
        <v>200</v>
      </c>
      <c r="BI45" s="550">
        <v>200</v>
      </c>
      <c r="BJ45" s="550">
        <v>200</v>
      </c>
    </row>
    <row r="46" spans="1:62" ht="18">
      <c r="A46" s="498" t="s">
        <v>795</v>
      </c>
      <c r="B46" s="515" t="s">
        <v>646</v>
      </c>
      <c r="C46" s="550"/>
      <c r="D46" s="550"/>
      <c r="E46" s="550"/>
      <c r="F46" s="550"/>
      <c r="G46" s="550"/>
      <c r="H46" s="550"/>
      <c r="I46" s="550"/>
      <c r="J46" s="550"/>
      <c r="K46" s="550">
        <v>150</v>
      </c>
      <c r="L46" s="550">
        <v>150</v>
      </c>
      <c r="M46" s="550">
        <v>150</v>
      </c>
      <c r="N46" s="550">
        <v>150</v>
      </c>
      <c r="O46" s="550">
        <v>150</v>
      </c>
      <c r="P46" s="550">
        <v>150</v>
      </c>
      <c r="Q46" s="550">
        <v>150</v>
      </c>
      <c r="R46" s="550">
        <v>150</v>
      </c>
      <c r="S46" s="550">
        <v>150</v>
      </c>
      <c r="T46" s="550">
        <v>150</v>
      </c>
      <c r="U46" s="550"/>
      <c r="V46" s="550"/>
      <c r="W46" s="550"/>
      <c r="X46" s="550">
        <v>150</v>
      </c>
      <c r="Y46" s="550">
        <v>150</v>
      </c>
      <c r="Z46" s="550">
        <v>150</v>
      </c>
      <c r="AA46" s="550"/>
      <c r="AB46" s="550"/>
      <c r="AC46" s="550"/>
      <c r="AD46" s="550">
        <v>150</v>
      </c>
      <c r="AE46" s="550">
        <v>150</v>
      </c>
      <c r="AF46" s="550">
        <v>150</v>
      </c>
      <c r="AG46" s="550"/>
      <c r="AH46" s="550"/>
      <c r="AI46" s="550"/>
      <c r="AJ46" s="550">
        <v>150</v>
      </c>
      <c r="AK46" s="550">
        <v>150</v>
      </c>
      <c r="AL46" s="550">
        <v>150</v>
      </c>
      <c r="AM46" s="550"/>
      <c r="AN46" s="550"/>
      <c r="AO46" s="550"/>
      <c r="AP46" s="550"/>
      <c r="AQ46" s="550"/>
      <c r="AR46" s="550"/>
      <c r="AS46" s="550"/>
      <c r="AT46" s="550">
        <v>150</v>
      </c>
      <c r="AU46" s="550">
        <v>150</v>
      </c>
      <c r="AV46" s="550">
        <v>150</v>
      </c>
      <c r="AW46" s="550">
        <v>150</v>
      </c>
      <c r="AX46" s="550">
        <v>150</v>
      </c>
      <c r="AY46" s="550"/>
      <c r="AZ46" s="550"/>
      <c r="BA46" s="550"/>
      <c r="BB46" s="550"/>
      <c r="BC46" s="550"/>
      <c r="BD46" s="550"/>
      <c r="BE46" s="550"/>
      <c r="BF46" s="550"/>
      <c r="BG46" s="550"/>
      <c r="BH46" s="550">
        <v>150</v>
      </c>
      <c r="BI46" s="550">
        <v>150</v>
      </c>
      <c r="BJ46" s="550">
        <v>150</v>
      </c>
    </row>
    <row r="47" spans="1:62" ht="18">
      <c r="A47" s="498" t="s">
        <v>796</v>
      </c>
      <c r="B47" s="515" t="s">
        <v>646</v>
      </c>
      <c r="C47" s="550"/>
      <c r="D47" s="550"/>
      <c r="E47" s="550"/>
      <c r="F47" s="550"/>
      <c r="G47" s="550"/>
      <c r="H47" s="550"/>
      <c r="I47" s="550"/>
      <c r="J47" s="550"/>
      <c r="K47" s="550">
        <v>50</v>
      </c>
      <c r="L47" s="550">
        <v>50</v>
      </c>
      <c r="M47" s="550">
        <v>50</v>
      </c>
      <c r="N47" s="550">
        <v>50</v>
      </c>
      <c r="O47" s="550">
        <v>50</v>
      </c>
      <c r="P47" s="550">
        <v>50</v>
      </c>
      <c r="Q47" s="550">
        <v>50</v>
      </c>
      <c r="R47" s="550">
        <v>50</v>
      </c>
      <c r="S47" s="550">
        <v>50</v>
      </c>
      <c r="T47" s="550">
        <v>50</v>
      </c>
      <c r="U47" s="550"/>
      <c r="V47" s="550"/>
      <c r="W47" s="550"/>
      <c r="X47" s="550">
        <v>50</v>
      </c>
      <c r="Y47" s="550">
        <v>50</v>
      </c>
      <c r="Z47" s="550">
        <v>50</v>
      </c>
      <c r="AA47" s="550"/>
      <c r="AB47" s="550"/>
      <c r="AC47" s="550"/>
      <c r="AD47" s="550">
        <v>50</v>
      </c>
      <c r="AE47" s="550">
        <v>50</v>
      </c>
      <c r="AF47" s="550">
        <v>50</v>
      </c>
      <c r="AG47" s="550"/>
      <c r="AH47" s="550"/>
      <c r="AI47" s="550"/>
      <c r="AJ47" s="550">
        <v>50</v>
      </c>
      <c r="AK47" s="550">
        <v>50</v>
      </c>
      <c r="AL47" s="550">
        <v>50</v>
      </c>
      <c r="AM47" s="550"/>
      <c r="AN47" s="550"/>
      <c r="AO47" s="550"/>
      <c r="AP47" s="550"/>
      <c r="AQ47" s="550"/>
      <c r="AR47" s="550"/>
      <c r="AS47" s="550"/>
      <c r="AT47" s="550">
        <v>50</v>
      </c>
      <c r="AU47" s="550">
        <v>50</v>
      </c>
      <c r="AV47" s="550">
        <v>50</v>
      </c>
      <c r="AW47" s="550">
        <v>50</v>
      </c>
      <c r="AX47" s="550">
        <v>50</v>
      </c>
      <c r="AY47" s="550"/>
      <c r="AZ47" s="550"/>
      <c r="BA47" s="550"/>
      <c r="BB47" s="550"/>
      <c r="BC47" s="550"/>
      <c r="BD47" s="550"/>
      <c r="BE47" s="550"/>
      <c r="BF47" s="550"/>
      <c r="BG47" s="550"/>
      <c r="BH47" s="550">
        <v>50</v>
      </c>
      <c r="BI47" s="550">
        <v>50</v>
      </c>
      <c r="BJ47" s="550">
        <v>50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4"/>
  <sheetViews>
    <sheetView workbookViewId="0"/>
  </sheetViews>
  <sheetFormatPr baseColWidth="10" defaultColWidth="9" defaultRowHeight="15"/>
  <cols>
    <col min="1" max="1" width="9" style="491"/>
    <col min="2" max="2" width="19.1640625" style="491" bestFit="1" customWidth="1"/>
    <col min="3" max="3" width="19.1640625" style="506" bestFit="1" customWidth="1"/>
    <col min="4" max="4" width="19.1640625" style="491" bestFit="1" customWidth="1"/>
    <col min="5" max="5" width="19.1640625" style="506" bestFit="1" customWidth="1"/>
    <col min="6" max="6" width="19.1640625" style="491" bestFit="1" customWidth="1"/>
    <col min="7" max="7" width="19.1640625" style="506" bestFit="1" customWidth="1"/>
    <col min="8" max="8" width="19.1640625" style="491" bestFit="1" customWidth="1"/>
    <col min="9" max="9" width="19.1640625" style="506" bestFit="1" customWidth="1"/>
    <col min="10" max="10" width="19.1640625" style="491" bestFit="1" customWidth="1"/>
    <col min="11" max="11" width="19.1640625" style="506" bestFit="1" customWidth="1"/>
    <col min="12" max="12" width="19.1640625" style="491" bestFit="1" customWidth="1"/>
    <col min="13" max="13" width="19.1640625" style="506" bestFit="1" customWidth="1"/>
    <col min="14" max="14" width="19.1640625" style="514" bestFit="1" customWidth="1"/>
    <col min="15" max="15" width="19.1640625" style="506" bestFit="1" customWidth="1"/>
    <col min="16" max="16" width="19.1640625" style="491" bestFit="1" customWidth="1"/>
    <col min="17" max="17" width="19.1640625" style="506" bestFit="1" customWidth="1"/>
    <col min="18" max="18" width="20.1640625" style="514" bestFit="1" customWidth="1"/>
    <col min="19" max="19" width="20.1640625" style="506" bestFit="1" customWidth="1"/>
    <col min="20" max="20" width="20.1640625" style="491" bestFit="1" customWidth="1"/>
    <col min="21" max="21" width="20.1640625" style="514" bestFit="1" customWidth="1"/>
    <col min="22" max="22" width="20.1640625" style="491" bestFit="1" customWidth="1"/>
    <col min="23" max="25" width="20.1640625" style="514" bestFit="1" customWidth="1"/>
    <col min="26" max="26" width="20.1640625" style="491" bestFit="1" customWidth="1"/>
    <col min="27" max="29" width="20.1640625" style="514" bestFit="1" customWidth="1"/>
    <col min="30" max="30" width="20.1640625" style="491" bestFit="1" customWidth="1"/>
    <col min="31" max="16384" width="9" style="491"/>
  </cols>
  <sheetData>
    <row r="1" spans="1:30">
      <c r="B1" s="504" t="s">
        <v>834</v>
      </c>
      <c r="C1" s="505" t="s">
        <v>831</v>
      </c>
      <c r="D1" s="504" t="s">
        <v>832</v>
      </c>
      <c r="E1" s="505" t="s">
        <v>833</v>
      </c>
      <c r="F1" s="504" t="s">
        <v>797</v>
      </c>
      <c r="G1" s="505" t="s">
        <v>798</v>
      </c>
      <c r="H1" s="504" t="s">
        <v>799</v>
      </c>
      <c r="I1" s="505" t="s">
        <v>800</v>
      </c>
      <c r="J1" s="504" t="s">
        <v>801</v>
      </c>
      <c r="K1" s="505" t="s">
        <v>802</v>
      </c>
      <c r="L1" s="504" t="s">
        <v>803</v>
      </c>
      <c r="M1" s="505" t="s">
        <v>804</v>
      </c>
      <c r="N1" s="513" t="s">
        <v>805</v>
      </c>
      <c r="O1" s="505" t="s">
        <v>806</v>
      </c>
      <c r="P1" s="504" t="s">
        <v>807</v>
      </c>
      <c r="Q1" s="505" t="s">
        <v>808</v>
      </c>
      <c r="R1" s="513" t="s">
        <v>809</v>
      </c>
      <c r="S1" s="505" t="s">
        <v>810</v>
      </c>
      <c r="T1" s="504" t="s">
        <v>811</v>
      </c>
      <c r="U1" s="513" t="s">
        <v>812</v>
      </c>
      <c r="V1" s="504" t="s">
        <v>813</v>
      </c>
      <c r="W1" s="513" t="s">
        <v>814</v>
      </c>
      <c r="X1" s="513" t="s">
        <v>815</v>
      </c>
      <c r="Y1" s="513" t="s">
        <v>816</v>
      </c>
      <c r="Z1" s="504" t="s">
        <v>817</v>
      </c>
      <c r="AA1" s="513" t="s">
        <v>818</v>
      </c>
      <c r="AB1" s="513" t="s">
        <v>819</v>
      </c>
      <c r="AC1" s="513" t="s">
        <v>820</v>
      </c>
      <c r="AD1" s="504" t="s">
        <v>821</v>
      </c>
    </row>
    <row r="2" spans="1:30">
      <c r="A2" s="491">
        <v>5</v>
      </c>
      <c r="B2" s="504" t="str">
        <f>'辅助-模块单元解耦'!C2</f>
        <v>BE-JSTSB-QW-1-5</v>
      </c>
      <c r="C2" s="505" t="str">
        <f>D2</f>
        <v>BE-JSTSB-QW-2-5</v>
      </c>
      <c r="D2" s="504" t="str">
        <f>'辅助-模块单元解耦'!F2</f>
        <v>BE-JSTSB-QW-2-5</v>
      </c>
      <c r="E2" s="505" t="str">
        <f>F2</f>
        <v>BE-JSTSB-QW-3-5</v>
      </c>
      <c r="F2" s="504" t="str">
        <f>'辅助-模块单元解耦'!I2</f>
        <v>BE-JSTSB-QW-3-5</v>
      </c>
      <c r="G2" s="505" t="str">
        <f>H2</f>
        <v>BE-JSTSB-QW-4-5</v>
      </c>
      <c r="H2" s="504" t="str">
        <f>'辅助-模块单元解耦'!L2</f>
        <v>BE-JSTSB-QW-4-5</v>
      </c>
      <c r="I2" s="505" t="str">
        <f>J2</f>
        <v>BE-JSTSB-QW-5-5</v>
      </c>
      <c r="J2" s="504" t="str">
        <f>'辅助-模块单元解耦'!O2</f>
        <v>BE-JSTSB-QW-5-5</v>
      </c>
      <c r="K2" s="505" t="str">
        <f>L2</f>
        <v>BE-JSTSB-QW-6-5</v>
      </c>
      <c r="L2" s="504" t="str">
        <f>'辅助-模块单元解耦'!R2</f>
        <v>BE-JSTSB-QW-6-5</v>
      </c>
      <c r="M2" s="505" t="str">
        <f>N2</f>
        <v>BE-JSTSB-QW-7-5</v>
      </c>
      <c r="N2" s="513" t="str">
        <f>'辅助-模块单元解耦'!U2</f>
        <v>BE-JSTSB-QW-7-5</v>
      </c>
      <c r="O2" s="505" t="str">
        <f>P2</f>
        <v>BE-JSTSB-QW-8-5</v>
      </c>
      <c r="P2" s="504" t="str">
        <f>'辅助-模块单元解耦'!X2</f>
        <v>BE-JSTSB-QW-8-5</v>
      </c>
      <c r="Q2" s="505" t="str">
        <f>R2</f>
        <v>BE-JSTSB-QW-9-5</v>
      </c>
      <c r="R2" s="513" t="str">
        <f>'辅助-模块单元解耦'!AA2</f>
        <v>BE-JSTSB-QW-9-5</v>
      </c>
      <c r="S2" s="505" t="str">
        <f>T2</f>
        <v>BE-JSTSB-QW-10-5</v>
      </c>
      <c r="T2" s="504" t="str">
        <f>'辅助-模块单元解耦'!AD2</f>
        <v>BE-JSTSB-QW-10-5</v>
      </c>
      <c r="U2" s="513" t="str">
        <f>'辅助-模块单元解耦'!AG2</f>
        <v>BE-JSTSB-QW-11-5</v>
      </c>
      <c r="V2" s="504" t="str">
        <f>'辅助-模块单元解耦'!AJ2</f>
        <v>BE-JSTSB-QW-12-5</v>
      </c>
      <c r="W2" s="513" t="str">
        <f>'辅助-模块单元解耦'!AM2</f>
        <v>BE-JSTSB-QW-13-5</v>
      </c>
      <c r="X2" s="513" t="str">
        <f>'辅助-模块单元解耦'!AP2</f>
        <v>BE-JSTSB-QW-14-5</v>
      </c>
      <c r="Y2" s="513" t="str">
        <f>'辅助-模块单元解耦'!AT2</f>
        <v>BE-JSTSB-QW-15-8</v>
      </c>
      <c r="Z2" s="504" t="str">
        <f>'辅助-模块单元解耦'!AV2</f>
        <v>BE-JSTSB-QW-16-5</v>
      </c>
      <c r="AA2" s="513" t="str">
        <f>'辅助-模块单元解耦'!AY2</f>
        <v>BE-JSTSB-QW-17-5</v>
      </c>
      <c r="AB2" s="513" t="str">
        <f>'辅助-模块单元解耦'!BB2</f>
        <v>BE-JSTSB-QW-18-5</v>
      </c>
      <c r="AC2" s="513" t="str">
        <f>'辅助-模块单元解耦'!BE2</f>
        <v>BE-JSTSB-QW-19-5</v>
      </c>
      <c r="AD2" s="504" t="str">
        <f>'辅助-模块单元解耦'!BH2</f>
        <v>BE-JSTSB-QW-20-5</v>
      </c>
    </row>
    <row r="3" spans="1:30">
      <c r="A3" s="491">
        <v>8</v>
      </c>
      <c r="B3" s="504" t="str">
        <f>'辅助-模块单元解耦'!D2</f>
        <v>BE-JSTSB-QW-1-8</v>
      </c>
      <c r="C3" s="505" t="str">
        <f>D3</f>
        <v>BE-JSTSB-QW-2-8</v>
      </c>
      <c r="D3" s="504" t="str">
        <f>'辅助-模块单元解耦'!G2</f>
        <v>BE-JSTSB-QW-2-8</v>
      </c>
      <c r="E3" s="505" t="str">
        <f>F3</f>
        <v>BE-JSTSB-QW-3-8</v>
      </c>
      <c r="F3" s="504" t="str">
        <f>'辅助-模块单元解耦'!J2</f>
        <v>BE-JSTSB-QW-3-8</v>
      </c>
      <c r="G3" s="505" t="str">
        <f>H3</f>
        <v>BE-JSTSB-QW-4-8</v>
      </c>
      <c r="H3" s="504" t="str">
        <f>'辅助-模块单元解耦'!M2</f>
        <v>BE-JSTSB-QW-4-8</v>
      </c>
      <c r="I3" s="505" t="str">
        <f>J3</f>
        <v>BE-JSTSB-QW-5-8</v>
      </c>
      <c r="J3" s="504" t="str">
        <f>'辅助-模块单元解耦'!P2</f>
        <v>BE-JSTSB-QW-5-8</v>
      </c>
      <c r="K3" s="505" t="str">
        <f>L3</f>
        <v>BE-JSTSB-QW-6-8</v>
      </c>
      <c r="L3" s="504" t="str">
        <f>'辅助-模块单元解耦'!S2</f>
        <v>BE-JSTSB-QW-6-8</v>
      </c>
      <c r="M3" s="505" t="str">
        <f>N3</f>
        <v>BE-JSTSB-QW-7-8</v>
      </c>
      <c r="N3" s="513" t="str">
        <f>'辅助-模块单元解耦'!V2</f>
        <v>BE-JSTSB-QW-7-8</v>
      </c>
      <c r="O3" s="505" t="str">
        <f>P3</f>
        <v>BE-JSTSB-QW-8-8</v>
      </c>
      <c r="P3" s="504" t="str">
        <f>'辅助-模块单元解耦'!Y2</f>
        <v>BE-JSTSB-QW-8-8</v>
      </c>
      <c r="Q3" s="505" t="str">
        <f>R3</f>
        <v>BE-JSTSB-QW-9-8</v>
      </c>
      <c r="R3" s="513" t="str">
        <f>'辅助-模块单元解耦'!AB2</f>
        <v>BE-JSTSB-QW-9-8</v>
      </c>
      <c r="S3" s="505" t="str">
        <f>T3</f>
        <v>BE-JSTSB-QW-10-8</v>
      </c>
      <c r="T3" s="504" t="str">
        <f>'辅助-模块单元解耦'!AE2</f>
        <v>BE-JSTSB-QW-10-8</v>
      </c>
      <c r="U3" s="513" t="str">
        <f>'辅助-模块单元解耦'!AH2</f>
        <v>BE-JSTSB-QW-11-8</v>
      </c>
      <c r="V3" s="504" t="str">
        <f>'辅助-模块单元解耦'!AK2</f>
        <v>BE-JSTSB-QW-12-8</v>
      </c>
      <c r="W3" s="513" t="str">
        <f>'辅助-模块单元解耦'!AN2</f>
        <v>BE-JSTSB-QW-13-8</v>
      </c>
      <c r="X3" s="513" t="str">
        <f>'辅助-模块单元解耦'!AQ2</f>
        <v>BE-JSTSB-QW-14-8</v>
      </c>
      <c r="Y3" s="514" t="str">
        <f>'辅助-模块单元解耦'!AT2</f>
        <v>BE-JSTSB-QW-15-8</v>
      </c>
      <c r="Z3" s="504" t="str">
        <f>'辅助-模块单元解耦'!AW2</f>
        <v>BE-JSTSB-QW-16-8</v>
      </c>
      <c r="AA3" s="513" t="str">
        <f>'辅助-模块单元解耦'!AZ2</f>
        <v>BE-JSTSB-QW-17-8</v>
      </c>
      <c r="AB3" s="513" t="str">
        <f>'辅助-模块单元解耦'!BC2</f>
        <v>BE-JSTSB-QW-18-8</v>
      </c>
      <c r="AC3" s="513" t="str">
        <f>'辅助-模块单元解耦'!BF2</f>
        <v>BE-JSTSB-QW-19-8</v>
      </c>
      <c r="AD3" s="504" t="str">
        <f>'辅助-模块单元解耦'!BI2</f>
        <v>BE-JSTSB-QW-20-8</v>
      </c>
    </row>
    <row r="4" spans="1:30">
      <c r="A4" s="491">
        <v>12</v>
      </c>
      <c r="B4" s="504" t="str">
        <f>'辅助-模块单元解耦'!E2</f>
        <v>BE-JSTSB-QW-1-12</v>
      </c>
      <c r="C4" s="505" t="str">
        <f>D4</f>
        <v>BE-JSTSB-QW-2-12</v>
      </c>
      <c r="D4" s="504" t="str">
        <f>'辅助-模块单元解耦'!H2</f>
        <v>BE-JSTSB-QW-2-12</v>
      </c>
      <c r="E4" s="505" t="str">
        <f>F4</f>
        <v>BE-JSTSB-QW-3-12</v>
      </c>
      <c r="F4" s="504" t="str">
        <f>'辅助-模块单元解耦'!K2</f>
        <v>BE-JSTSB-QW-3-12</v>
      </c>
      <c r="G4" s="505" t="str">
        <f>H4</f>
        <v>BE-JSTSB-QW-4-12</v>
      </c>
      <c r="H4" s="504" t="str">
        <f>'辅助-模块单元解耦'!N2</f>
        <v>BE-JSTSB-QW-4-12</v>
      </c>
      <c r="I4" s="505" t="str">
        <f>J4</f>
        <v>BE-JSTSB-QW-5-12</v>
      </c>
      <c r="J4" s="504" t="str">
        <f>'辅助-模块单元解耦'!Q2</f>
        <v>BE-JSTSB-QW-5-12</v>
      </c>
      <c r="K4" s="505" t="str">
        <f>L4</f>
        <v>BE-JSTSB-QW-6-12</v>
      </c>
      <c r="L4" s="504" t="str">
        <f>'辅助-模块单元解耦'!T2</f>
        <v>BE-JSTSB-QW-6-12</v>
      </c>
      <c r="M4" s="505" t="str">
        <f>N4</f>
        <v>BE-JSTSB-QW-7-12</v>
      </c>
      <c r="N4" s="513" t="str">
        <f>'辅助-模块单元解耦'!W2</f>
        <v>BE-JSTSB-QW-7-12</v>
      </c>
      <c r="O4" s="505" t="str">
        <f>P4</f>
        <v>BE-JSTSB-QW-8-12</v>
      </c>
      <c r="P4" s="504" t="str">
        <f>'辅助-模块单元解耦'!Z2</f>
        <v>BE-JSTSB-QW-8-12</v>
      </c>
      <c r="Q4" s="505" t="str">
        <f>R4</f>
        <v>BE-JSTSB-QW-9-12</v>
      </c>
      <c r="R4" s="513" t="str">
        <f>'辅助-模块单元解耦'!AC2</f>
        <v>BE-JSTSB-QW-9-12</v>
      </c>
      <c r="S4" s="505" t="str">
        <f>T4</f>
        <v>BE-JSTSB-QW-10-12</v>
      </c>
      <c r="T4" s="504" t="str">
        <f>'辅助-模块单元解耦'!AF2</f>
        <v>BE-JSTSB-QW-10-12</v>
      </c>
      <c r="U4" s="513" t="str">
        <f>'辅助-模块单元解耦'!AI2</f>
        <v>BE-JSTSB-QW-11-12</v>
      </c>
      <c r="V4" s="504" t="str">
        <f>'辅助-模块单元解耦'!AL2</f>
        <v>BE-JSTSB-QW-12-12</v>
      </c>
      <c r="W4" s="513" t="str">
        <f>'辅助-模块单元解耦'!AO2</f>
        <v>BE-JSTSB-QW-13-12</v>
      </c>
      <c r="X4" s="513" t="str">
        <f>'辅助-模块单元解耦'!AR2</f>
        <v>BE-JSTSB-QW-14-12</v>
      </c>
      <c r="Y4" s="513" t="str">
        <f>'辅助-模块单元解耦'!AU2</f>
        <v>BE-JSTSB-QW-15-12</v>
      </c>
      <c r="Z4" s="504" t="str">
        <f>'辅助-模块单元解耦'!AX2</f>
        <v>BE-JSTSB-QW-16-12</v>
      </c>
      <c r="AA4" s="513" t="str">
        <f>'辅助-模块单元解耦'!BA2</f>
        <v>BE-JSTSB-QW-17-12</v>
      </c>
      <c r="AB4" s="513" t="str">
        <f>'辅助-模块单元解耦'!BD2</f>
        <v>BE-JSTSB-QW-18-12</v>
      </c>
      <c r="AC4" s="513" t="str">
        <f>'辅助-模块单元解耦'!BG2</f>
        <v>BE-JSTSB-QW-19-12</v>
      </c>
      <c r="AD4" s="504" t="str">
        <f>'辅助-模块单元解耦'!BJ2</f>
        <v>BE-JSTSB-QW-20-12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56"/>
  <sheetViews>
    <sheetView workbookViewId="0">
      <selection activeCell="C10" sqref="C10"/>
    </sheetView>
  </sheetViews>
  <sheetFormatPr baseColWidth="10" defaultColWidth="9" defaultRowHeight="17"/>
  <cols>
    <col min="1" max="1" width="9" style="507"/>
    <col min="2" max="16384" width="9" style="491"/>
  </cols>
  <sheetData>
    <row r="1" spans="1:1">
      <c r="A1" s="507" t="s">
        <v>822</v>
      </c>
    </row>
    <row r="2" spans="1:1">
      <c r="A2" s="507">
        <v>0.06</v>
      </c>
    </row>
    <row r="3" spans="1:1">
      <c r="A3" s="507">
        <v>0.09</v>
      </c>
    </row>
    <row r="4" spans="1:1">
      <c r="A4" s="507">
        <v>0.12</v>
      </c>
    </row>
    <row r="5" spans="1:1">
      <c r="A5" s="507">
        <v>0.18</v>
      </c>
    </row>
    <row r="6" spans="1:1">
      <c r="A6" s="507">
        <v>0.25</v>
      </c>
    </row>
    <row r="7" spans="1:1">
      <c r="A7" s="507">
        <v>0.37</v>
      </c>
    </row>
    <row r="8" spans="1:1">
      <c r="A8" s="507">
        <v>0.55000000000000004</v>
      </c>
    </row>
    <row r="9" spans="1:1">
      <c r="A9" s="507">
        <v>0.75</v>
      </c>
    </row>
    <row r="10" spans="1:1">
      <c r="A10" s="507">
        <v>1.1000000000000001</v>
      </c>
    </row>
    <row r="11" spans="1:1">
      <c r="A11" s="507">
        <v>1.5</v>
      </c>
    </row>
    <row r="12" spans="1:1">
      <c r="A12" s="507">
        <v>2.2000000000000002</v>
      </c>
    </row>
    <row r="13" spans="1:1">
      <c r="A13" s="507">
        <v>3.7</v>
      </c>
    </row>
    <row r="14" spans="1:1">
      <c r="A14" s="507">
        <v>5.5</v>
      </c>
    </row>
    <row r="15" spans="1:1">
      <c r="A15" s="507">
        <v>7.5</v>
      </c>
    </row>
    <row r="16" spans="1:1">
      <c r="A16" s="507">
        <v>11</v>
      </c>
    </row>
    <row r="17" spans="1:1">
      <c r="A17" s="507">
        <v>15</v>
      </c>
    </row>
    <row r="18" spans="1:1">
      <c r="A18" s="507">
        <v>18.5</v>
      </c>
    </row>
    <row r="19" spans="1:1">
      <c r="A19" s="507">
        <v>22</v>
      </c>
    </row>
    <row r="20" spans="1:1">
      <c r="A20" s="507">
        <v>30</v>
      </c>
    </row>
    <row r="21" spans="1:1">
      <c r="A21" s="507">
        <v>37</v>
      </c>
    </row>
    <row r="22" spans="1:1">
      <c r="A22" s="507">
        <v>45</v>
      </c>
    </row>
    <row r="23" spans="1:1">
      <c r="A23" s="507">
        <v>55</v>
      </c>
    </row>
    <row r="24" spans="1:1">
      <c r="A24" s="507">
        <v>75</v>
      </c>
    </row>
    <row r="25" spans="1:1">
      <c r="A25" s="507">
        <v>90</v>
      </c>
    </row>
    <row r="26" spans="1:1">
      <c r="A26" s="507">
        <v>110</v>
      </c>
    </row>
    <row r="27" spans="1:1">
      <c r="A27" s="507">
        <v>132</v>
      </c>
    </row>
    <row r="28" spans="1:1">
      <c r="A28" s="507">
        <v>150</v>
      </c>
    </row>
    <row r="29" spans="1:1">
      <c r="A29" s="507">
        <v>160</v>
      </c>
    </row>
    <row r="30" spans="1:1">
      <c r="A30" s="507">
        <v>185</v>
      </c>
    </row>
    <row r="31" spans="1:1">
      <c r="A31" s="507">
        <v>200</v>
      </c>
    </row>
    <row r="32" spans="1:1">
      <c r="A32" s="507">
        <v>220</v>
      </c>
    </row>
    <row r="33" spans="1:1">
      <c r="A33" s="507">
        <v>250</v>
      </c>
    </row>
    <row r="34" spans="1:1">
      <c r="A34" s="507">
        <v>280</v>
      </c>
    </row>
    <row r="35" spans="1:1">
      <c r="A35" s="507">
        <v>300</v>
      </c>
    </row>
    <row r="36" spans="1:1">
      <c r="A36" s="507">
        <v>315</v>
      </c>
    </row>
    <row r="37" spans="1:1">
      <c r="A37" s="507">
        <v>335</v>
      </c>
    </row>
    <row r="38" spans="1:1">
      <c r="A38" s="507">
        <v>355</v>
      </c>
    </row>
    <row r="39" spans="1:1">
      <c r="A39" s="507">
        <v>375</v>
      </c>
    </row>
    <row r="40" spans="1:1">
      <c r="A40" s="507">
        <v>400</v>
      </c>
    </row>
    <row r="41" spans="1:1">
      <c r="A41" s="507">
        <v>425</v>
      </c>
    </row>
    <row r="42" spans="1:1">
      <c r="A42" s="507">
        <v>450</v>
      </c>
    </row>
    <row r="43" spans="1:1">
      <c r="A43" s="507">
        <v>475</v>
      </c>
    </row>
    <row r="44" spans="1:1">
      <c r="A44" s="507">
        <v>500</v>
      </c>
    </row>
    <row r="45" spans="1:1">
      <c r="A45" s="507">
        <v>530</v>
      </c>
    </row>
    <row r="46" spans="1:1">
      <c r="A46" s="507">
        <v>560</v>
      </c>
    </row>
    <row r="47" spans="1:1">
      <c r="A47" s="507">
        <v>600</v>
      </c>
    </row>
    <row r="48" spans="1:1">
      <c r="A48" s="507">
        <v>630</v>
      </c>
    </row>
    <row r="49" spans="1:1">
      <c r="A49" s="507">
        <v>670</v>
      </c>
    </row>
    <row r="50" spans="1:1">
      <c r="A50" s="507">
        <v>710</v>
      </c>
    </row>
    <row r="51" spans="1:1">
      <c r="A51" s="507">
        <v>750</v>
      </c>
    </row>
    <row r="52" spans="1:1">
      <c r="A52" s="507">
        <v>800</v>
      </c>
    </row>
    <row r="53" spans="1:1">
      <c r="A53" s="507">
        <v>850</v>
      </c>
    </row>
    <row r="54" spans="1:1">
      <c r="A54" s="507">
        <v>900</v>
      </c>
    </row>
    <row r="55" spans="1:1">
      <c r="A55" s="507">
        <v>950</v>
      </c>
    </row>
    <row r="56" spans="1:1">
      <c r="A56" s="507">
        <v>1000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J5"/>
  <sheetViews>
    <sheetView zoomScale="118" zoomScaleNormal="118" workbookViewId="0">
      <selection activeCell="B74" sqref="B74"/>
    </sheetView>
  </sheetViews>
  <sheetFormatPr baseColWidth="10" defaultColWidth="9" defaultRowHeight="18"/>
  <cols>
    <col min="1" max="1" width="9" style="508"/>
    <col min="2" max="2" width="22.6640625" style="508" bestFit="1" customWidth="1"/>
    <col min="3" max="6" width="5.83203125" style="508" bestFit="1" customWidth="1"/>
    <col min="7" max="9" width="6.6640625" style="508" bestFit="1" customWidth="1"/>
    <col min="10" max="10" width="8" style="508" bestFit="1" customWidth="1"/>
    <col min="11" max="16384" width="9" style="508"/>
  </cols>
  <sheetData>
    <row r="2" spans="2:10">
      <c r="B2" s="571" t="s">
        <v>823</v>
      </c>
      <c r="C2" s="571"/>
      <c r="D2" s="571"/>
      <c r="E2" s="571"/>
      <c r="F2" s="571"/>
      <c r="G2" s="571"/>
      <c r="H2" s="571"/>
      <c r="I2" s="571"/>
      <c r="J2" s="571"/>
    </row>
    <row r="3" spans="2:10">
      <c r="B3" s="509" t="s">
        <v>824</v>
      </c>
      <c r="C3" s="509">
        <v>5</v>
      </c>
      <c r="D3" s="509">
        <v>15</v>
      </c>
      <c r="E3" s="509">
        <v>40</v>
      </c>
      <c r="F3" s="509">
        <v>70</v>
      </c>
      <c r="G3" s="509">
        <v>100</v>
      </c>
      <c r="H3" s="509">
        <v>200</v>
      </c>
      <c r="I3" s="509">
        <v>500</v>
      </c>
      <c r="J3" s="509">
        <v>1000</v>
      </c>
    </row>
    <row r="4" spans="2:10" ht="38">
      <c r="B4" s="510" t="s">
        <v>825</v>
      </c>
      <c r="C4" s="509">
        <v>2.7</v>
      </c>
      <c r="D4" s="509">
        <v>2.4</v>
      </c>
      <c r="E4" s="509">
        <v>2.1</v>
      </c>
      <c r="F4" s="509">
        <v>2</v>
      </c>
      <c r="G4" s="509">
        <v>1.9</v>
      </c>
      <c r="H4" s="509">
        <v>1.8</v>
      </c>
      <c r="I4" s="509">
        <v>1.6</v>
      </c>
      <c r="J4" s="509">
        <v>1.5</v>
      </c>
    </row>
    <row r="5" spans="2:10" ht="38">
      <c r="B5" s="510" t="s">
        <v>826</v>
      </c>
      <c r="C5" s="509">
        <v>2.2999999999999998</v>
      </c>
      <c r="D5" s="509">
        <v>2</v>
      </c>
      <c r="E5" s="509">
        <v>1.8</v>
      </c>
      <c r="F5" s="509">
        <v>1.7</v>
      </c>
      <c r="G5" s="509">
        <v>1.6</v>
      </c>
      <c r="H5" s="509">
        <v>1.5</v>
      </c>
      <c r="I5" s="509">
        <v>1.4</v>
      </c>
      <c r="J5" s="509">
        <v>1.3</v>
      </c>
    </row>
  </sheetData>
  <mergeCells count="1">
    <mergeCell ref="B2:J2"/>
  </mergeCells>
  <phoneticPr fontId="1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3"/>
  <dimension ref="A1:C26"/>
  <sheetViews>
    <sheetView topLeftCell="A7" workbookViewId="0">
      <selection activeCell="B74" sqref="B74"/>
    </sheetView>
  </sheetViews>
  <sheetFormatPr baseColWidth="10" defaultColWidth="9" defaultRowHeight="15"/>
  <cols>
    <col min="1" max="2" width="9" style="511"/>
    <col min="3" max="3" width="17.1640625" style="511" bestFit="1" customWidth="1"/>
    <col min="4" max="16384" width="9" style="511"/>
  </cols>
  <sheetData>
    <row r="1" spans="1:3">
      <c r="A1" s="511" t="s">
        <v>827</v>
      </c>
      <c r="B1" s="511" t="s">
        <v>828</v>
      </c>
      <c r="C1" s="511" t="s">
        <v>829</v>
      </c>
    </row>
    <row r="2" spans="1:3">
      <c r="A2" s="512">
        <v>50</v>
      </c>
      <c r="B2" s="512">
        <v>57</v>
      </c>
      <c r="C2" s="512">
        <v>3.5</v>
      </c>
    </row>
    <row r="3" spans="1:3">
      <c r="A3" s="512">
        <v>80</v>
      </c>
      <c r="B3" s="512">
        <v>89</v>
      </c>
      <c r="C3" s="512">
        <v>4</v>
      </c>
    </row>
    <row r="4" spans="1:3">
      <c r="A4" s="512">
        <v>100</v>
      </c>
      <c r="B4" s="512">
        <v>108</v>
      </c>
      <c r="C4" s="512">
        <v>4</v>
      </c>
    </row>
    <row r="5" spans="1:3">
      <c r="A5" s="512">
        <v>125</v>
      </c>
      <c r="B5" s="512">
        <v>133</v>
      </c>
      <c r="C5" s="512">
        <v>4</v>
      </c>
    </row>
    <row r="6" spans="1:3">
      <c r="A6" s="512">
        <v>150</v>
      </c>
      <c r="B6" s="512">
        <v>159</v>
      </c>
      <c r="C6" s="512">
        <v>4.5</v>
      </c>
    </row>
    <row r="7" spans="1:3">
      <c r="A7" s="512">
        <v>200</v>
      </c>
      <c r="B7" s="512">
        <v>219</v>
      </c>
      <c r="C7" s="512">
        <v>6</v>
      </c>
    </row>
    <row r="8" spans="1:3">
      <c r="A8" s="512">
        <v>250</v>
      </c>
      <c r="B8" s="512">
        <v>273</v>
      </c>
      <c r="C8" s="512">
        <v>8</v>
      </c>
    </row>
    <row r="9" spans="1:3">
      <c r="A9" s="512">
        <v>300</v>
      </c>
      <c r="B9" s="512">
        <v>325</v>
      </c>
      <c r="C9" s="512">
        <v>8</v>
      </c>
    </row>
    <row r="10" spans="1:3">
      <c r="A10" s="512">
        <v>350</v>
      </c>
      <c r="B10" s="512">
        <v>377</v>
      </c>
      <c r="C10" s="512">
        <v>9</v>
      </c>
    </row>
    <row r="11" spans="1:3">
      <c r="A11" s="512">
        <v>400</v>
      </c>
      <c r="B11" s="512">
        <v>426</v>
      </c>
      <c r="C11" s="512">
        <v>9</v>
      </c>
    </row>
    <row r="12" spans="1:3">
      <c r="A12" s="512">
        <v>450</v>
      </c>
      <c r="B12" s="512">
        <v>480</v>
      </c>
      <c r="C12" s="512">
        <v>9</v>
      </c>
    </row>
    <row r="13" spans="1:3">
      <c r="A13" s="512">
        <v>500</v>
      </c>
      <c r="B13" s="512">
        <v>530</v>
      </c>
      <c r="C13" s="512">
        <v>9</v>
      </c>
    </row>
    <row r="14" spans="1:3">
      <c r="A14" s="512">
        <v>600</v>
      </c>
      <c r="B14" s="512">
        <v>630</v>
      </c>
      <c r="C14" s="512">
        <v>9</v>
      </c>
    </row>
    <row r="15" spans="1:3">
      <c r="A15" s="512">
        <v>700</v>
      </c>
      <c r="B15" s="512">
        <v>720</v>
      </c>
      <c r="C15" s="512">
        <v>10</v>
      </c>
    </row>
    <row r="16" spans="1:3">
      <c r="A16" s="512">
        <v>800</v>
      </c>
      <c r="B16" s="512">
        <v>820</v>
      </c>
      <c r="C16" s="512">
        <v>10</v>
      </c>
    </row>
    <row r="17" spans="1:3">
      <c r="A17" s="512">
        <v>900</v>
      </c>
      <c r="B17" s="512">
        <v>920</v>
      </c>
      <c r="C17" s="512">
        <v>10</v>
      </c>
    </row>
    <row r="18" spans="1:3">
      <c r="A18" s="512">
        <v>1000</v>
      </c>
      <c r="B18" s="512">
        <v>1020</v>
      </c>
      <c r="C18" s="512">
        <v>10</v>
      </c>
    </row>
    <row r="19" spans="1:3">
      <c r="A19" s="512">
        <v>1200</v>
      </c>
      <c r="B19" s="512">
        <v>1220</v>
      </c>
      <c r="C19" s="512">
        <v>12</v>
      </c>
    </row>
    <row r="20" spans="1:3">
      <c r="A20" s="511">
        <v>1400</v>
      </c>
      <c r="B20" s="511">
        <v>1420</v>
      </c>
      <c r="C20" s="511">
        <v>12</v>
      </c>
    </row>
    <row r="21" spans="1:3">
      <c r="A21" s="511">
        <v>1600</v>
      </c>
      <c r="B21" s="511">
        <v>1620</v>
      </c>
      <c r="C21" s="511">
        <v>14</v>
      </c>
    </row>
    <row r="22" spans="1:3">
      <c r="A22" s="511">
        <v>1800</v>
      </c>
      <c r="B22" s="511">
        <v>1820</v>
      </c>
      <c r="C22" s="511">
        <v>16</v>
      </c>
    </row>
    <row r="23" spans="1:3">
      <c r="A23" s="511">
        <v>2000</v>
      </c>
      <c r="B23" s="511">
        <v>2020</v>
      </c>
      <c r="C23" s="511">
        <v>18</v>
      </c>
    </row>
    <row r="24" spans="1:3">
      <c r="A24" s="511">
        <v>2200</v>
      </c>
      <c r="B24" s="511">
        <v>2220</v>
      </c>
      <c r="C24" s="511">
        <v>20</v>
      </c>
    </row>
    <row r="25" spans="1:3">
      <c r="A25" s="511">
        <v>2400</v>
      </c>
      <c r="B25" s="511">
        <v>2420</v>
      </c>
      <c r="C25" s="511">
        <v>20</v>
      </c>
    </row>
    <row r="26" spans="1:3">
      <c r="A26" s="511">
        <v>2600</v>
      </c>
      <c r="B26" s="511">
        <v>2620</v>
      </c>
      <c r="C26" s="511">
        <v>20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C21"/>
  <sheetViews>
    <sheetView workbookViewId="0">
      <selection activeCell="B74" sqref="B74"/>
    </sheetView>
  </sheetViews>
  <sheetFormatPr baseColWidth="10" defaultColWidth="9" defaultRowHeight="15"/>
  <cols>
    <col min="1" max="2" width="9" style="511"/>
    <col min="3" max="3" width="17.1640625" style="511" bestFit="1" customWidth="1"/>
    <col min="4" max="16384" width="9" style="511"/>
  </cols>
  <sheetData>
    <row r="1" spans="1:3">
      <c r="A1" s="511" t="s">
        <v>827</v>
      </c>
      <c r="B1" s="511" t="s">
        <v>830</v>
      </c>
      <c r="C1" s="511" t="s">
        <v>552</v>
      </c>
    </row>
    <row r="2" spans="1:3">
      <c r="A2" s="511">
        <v>50</v>
      </c>
      <c r="B2" s="511">
        <v>57</v>
      </c>
      <c r="C2" s="511">
        <v>2</v>
      </c>
    </row>
    <row r="3" spans="1:3">
      <c r="A3" s="511">
        <v>80</v>
      </c>
      <c r="B3" s="511">
        <v>89</v>
      </c>
      <c r="C3" s="511">
        <v>3</v>
      </c>
    </row>
    <row r="4" spans="1:3">
      <c r="A4" s="512">
        <v>100</v>
      </c>
      <c r="B4" s="512">
        <v>108</v>
      </c>
      <c r="C4" s="512">
        <v>3</v>
      </c>
    </row>
    <row r="5" spans="1:3">
      <c r="A5" s="512">
        <v>125</v>
      </c>
      <c r="B5" s="512">
        <v>133</v>
      </c>
      <c r="C5" s="512">
        <v>3</v>
      </c>
    </row>
    <row r="6" spans="1:3">
      <c r="A6" s="512">
        <v>150</v>
      </c>
      <c r="B6" s="512">
        <v>159</v>
      </c>
      <c r="C6" s="512">
        <v>3</v>
      </c>
    </row>
    <row r="7" spans="1:3">
      <c r="A7" s="512">
        <v>200</v>
      </c>
      <c r="B7" s="512">
        <v>219</v>
      </c>
      <c r="C7" s="512">
        <v>3</v>
      </c>
    </row>
    <row r="8" spans="1:3">
      <c r="A8" s="512">
        <v>250</v>
      </c>
      <c r="B8" s="512">
        <v>273</v>
      </c>
      <c r="C8" s="512">
        <v>3</v>
      </c>
    </row>
    <row r="9" spans="1:3">
      <c r="A9" s="512">
        <v>300</v>
      </c>
      <c r="B9" s="512">
        <v>325</v>
      </c>
      <c r="C9" s="512">
        <v>3</v>
      </c>
    </row>
    <row r="10" spans="1:3">
      <c r="A10" s="512">
        <v>350</v>
      </c>
      <c r="B10" s="512">
        <v>377</v>
      </c>
      <c r="C10" s="512">
        <v>3</v>
      </c>
    </row>
    <row r="11" spans="1:3">
      <c r="A11" s="512">
        <v>400</v>
      </c>
      <c r="B11" s="512">
        <v>426</v>
      </c>
      <c r="C11" s="512">
        <v>3</v>
      </c>
    </row>
    <row r="12" spans="1:3">
      <c r="A12" s="512">
        <v>450</v>
      </c>
      <c r="B12" s="512">
        <v>480</v>
      </c>
      <c r="C12" s="512">
        <v>3</v>
      </c>
    </row>
    <row r="13" spans="1:3" ht="15" customHeight="1">
      <c r="A13" s="512">
        <v>500</v>
      </c>
      <c r="B13" s="512">
        <v>530</v>
      </c>
      <c r="C13" s="512">
        <v>4</v>
      </c>
    </row>
    <row r="14" spans="1:3">
      <c r="A14" s="512">
        <v>600</v>
      </c>
      <c r="B14" s="512">
        <v>630</v>
      </c>
      <c r="C14" s="512">
        <v>4</v>
      </c>
    </row>
    <row r="15" spans="1:3">
      <c r="A15" s="512">
        <v>700</v>
      </c>
      <c r="B15" s="512">
        <v>720</v>
      </c>
      <c r="C15" s="512">
        <v>6</v>
      </c>
    </row>
    <row r="16" spans="1:3">
      <c r="A16" s="512">
        <v>800</v>
      </c>
      <c r="B16" s="512">
        <v>820</v>
      </c>
      <c r="C16" s="512">
        <v>6</v>
      </c>
    </row>
    <row r="17" spans="1:3">
      <c r="A17" s="512">
        <v>1000</v>
      </c>
      <c r="B17" s="512">
        <v>1020</v>
      </c>
      <c r="C17" s="512">
        <v>6</v>
      </c>
    </row>
    <row r="18" spans="1:3">
      <c r="A18" s="512">
        <v>1200</v>
      </c>
      <c r="B18" s="512">
        <v>1220</v>
      </c>
      <c r="C18" s="512">
        <v>6</v>
      </c>
    </row>
    <row r="19" spans="1:3">
      <c r="A19" s="511">
        <v>1500</v>
      </c>
      <c r="B19" s="511">
        <v>1520</v>
      </c>
      <c r="C19" s="511">
        <v>8</v>
      </c>
    </row>
    <row r="20" spans="1:3">
      <c r="A20" s="511">
        <v>1800</v>
      </c>
      <c r="B20" s="511">
        <v>1820</v>
      </c>
      <c r="C20" s="511">
        <v>10</v>
      </c>
    </row>
    <row r="21" spans="1:3">
      <c r="A21" s="511">
        <v>2000</v>
      </c>
      <c r="B21" s="511">
        <v>2020</v>
      </c>
      <c r="C21" s="511">
        <v>10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/>
  <dimension ref="B2:X75"/>
  <sheetViews>
    <sheetView topLeftCell="A58" workbookViewId="0">
      <selection activeCell="E75" sqref="E75"/>
    </sheetView>
  </sheetViews>
  <sheetFormatPr baseColWidth="10" defaultColWidth="9" defaultRowHeight="15"/>
  <cols>
    <col min="1" max="1" width="3.33203125" style="521" customWidth="1"/>
    <col min="2" max="3" width="9" style="537"/>
    <col min="4" max="4" width="16.83203125" style="539" customWidth="1"/>
    <col min="5" max="5" width="6.33203125" style="521" customWidth="1"/>
    <col min="6" max="7" width="9" style="537"/>
    <col min="8" max="8" width="17.1640625" style="539" customWidth="1"/>
    <col min="9" max="9" width="5.83203125" style="521" customWidth="1"/>
    <col min="10" max="11" width="9" style="537"/>
    <col min="12" max="12" width="21.33203125" style="538" customWidth="1"/>
    <col min="13" max="13" width="9" style="521"/>
    <col min="14" max="15" width="9" style="537"/>
    <col min="16" max="16" width="18.1640625" style="538" customWidth="1"/>
    <col min="17" max="17" width="9" style="521"/>
    <col min="18" max="19" width="9" style="537"/>
    <col min="20" max="20" width="17.5" style="521" customWidth="1"/>
    <col min="21" max="21" width="9" style="521"/>
    <col min="22" max="23" width="9" style="537"/>
    <col min="24" max="24" width="16.33203125" style="537" customWidth="1"/>
    <col min="25" max="16384" width="9" style="521"/>
  </cols>
  <sheetData>
    <row r="2" spans="2:24">
      <c r="B2" s="575" t="s">
        <v>849</v>
      </c>
      <c r="C2" s="575"/>
      <c r="D2" s="575"/>
      <c r="F2" s="576" t="s">
        <v>850</v>
      </c>
      <c r="G2" s="577"/>
      <c r="H2" s="578"/>
      <c r="J2" s="579" t="s">
        <v>851</v>
      </c>
      <c r="K2" s="580"/>
      <c r="L2" s="581"/>
      <c r="N2" s="582" t="s">
        <v>852</v>
      </c>
      <c r="O2" s="582"/>
      <c r="P2" s="582"/>
      <c r="R2" s="583" t="s">
        <v>853</v>
      </c>
      <c r="S2" s="583"/>
      <c r="T2" s="583"/>
      <c r="V2" s="572" t="s">
        <v>854</v>
      </c>
      <c r="W2" s="573"/>
      <c r="X2" s="574"/>
    </row>
    <row r="3" spans="2:24">
      <c r="B3" s="522" t="s">
        <v>855</v>
      </c>
      <c r="C3" s="522"/>
      <c r="D3" s="523" t="s">
        <v>856</v>
      </c>
      <c r="F3" s="524" t="s">
        <v>855</v>
      </c>
      <c r="G3" s="524"/>
      <c r="H3" s="525" t="s">
        <v>857</v>
      </c>
      <c r="J3" s="526" t="s">
        <v>855</v>
      </c>
      <c r="K3" s="526"/>
      <c r="L3" s="527" t="s">
        <v>858</v>
      </c>
      <c r="N3" s="528" t="s">
        <v>855</v>
      </c>
      <c r="O3" s="528"/>
      <c r="P3" s="529" t="s">
        <v>859</v>
      </c>
      <c r="R3" s="530" t="s">
        <v>855</v>
      </c>
      <c r="S3" s="530"/>
      <c r="T3" s="542" t="s">
        <v>860</v>
      </c>
      <c r="V3" s="531" t="s">
        <v>855</v>
      </c>
      <c r="W3" s="531"/>
      <c r="X3" s="531" t="s">
        <v>861</v>
      </c>
    </row>
    <row r="4" spans="2:24">
      <c r="B4" s="522" t="s">
        <v>526</v>
      </c>
      <c r="C4" s="522" t="s">
        <v>862</v>
      </c>
      <c r="D4" s="523" t="s">
        <v>863</v>
      </c>
      <c r="F4" s="524" t="s">
        <v>526</v>
      </c>
      <c r="G4" s="524" t="s">
        <v>864</v>
      </c>
      <c r="H4" s="525" t="s">
        <v>865</v>
      </c>
      <c r="J4" s="526" t="s">
        <v>526</v>
      </c>
      <c r="K4" s="526" t="s">
        <v>864</v>
      </c>
      <c r="L4" s="527" t="s">
        <v>865</v>
      </c>
      <c r="N4" s="528" t="s">
        <v>526</v>
      </c>
      <c r="O4" s="528" t="s">
        <v>864</v>
      </c>
      <c r="P4" s="529" t="s">
        <v>865</v>
      </c>
      <c r="R4" s="530" t="s">
        <v>526</v>
      </c>
      <c r="S4" s="530" t="s">
        <v>864</v>
      </c>
      <c r="T4" s="532" t="s">
        <v>865</v>
      </c>
      <c r="V4" s="531" t="s">
        <v>526</v>
      </c>
      <c r="W4" s="531" t="s">
        <v>864</v>
      </c>
      <c r="X4" s="533" t="s">
        <v>865</v>
      </c>
    </row>
    <row r="5" spans="2:24">
      <c r="B5" s="534">
        <v>101.56</v>
      </c>
      <c r="C5" s="534">
        <v>213.93</v>
      </c>
      <c r="D5" s="535">
        <f>20.193*B5^0.5084</f>
        <v>211.55274358991298</v>
      </c>
      <c r="F5" s="534">
        <v>104.78</v>
      </c>
      <c r="G5" s="534">
        <v>332.54</v>
      </c>
      <c r="H5" s="535">
        <f>33.132*F5^0.5007</f>
        <v>340.25228044285069</v>
      </c>
      <c r="J5" s="534">
        <v>105.7</v>
      </c>
      <c r="K5" s="534">
        <v>640.78</v>
      </c>
      <c r="L5" s="536">
        <f>177.46*J5^0.2734</f>
        <v>634.57444515379643</v>
      </c>
      <c r="N5" s="534">
        <v>100</v>
      </c>
      <c r="O5" s="534">
        <v>680</v>
      </c>
      <c r="P5" s="536">
        <f>66.959*N5^0.5023</f>
        <v>676.7199175799982</v>
      </c>
      <c r="R5" s="534">
        <v>100</v>
      </c>
      <c r="S5" s="534">
        <v>1100</v>
      </c>
      <c r="T5" s="536">
        <f>308.05*R5^0.2753</f>
        <v>1094.5137280714446</v>
      </c>
      <c r="V5" s="534">
        <v>100</v>
      </c>
      <c r="W5" s="534">
        <v>1508</v>
      </c>
      <c r="X5" s="536">
        <f>153.54*V5^0.5049</f>
        <v>1570.4406791365332</v>
      </c>
    </row>
    <row r="6" spans="2:24">
      <c r="B6" s="534">
        <v>109.89</v>
      </c>
      <c r="C6" s="534">
        <v>220.89</v>
      </c>
      <c r="D6" s="535">
        <f t="shared" ref="D6:D54" si="0">20.193*B6^0.5084</f>
        <v>220.20337987736315</v>
      </c>
      <c r="F6" s="534">
        <v>111.3</v>
      </c>
      <c r="G6" s="534">
        <v>340.67</v>
      </c>
      <c r="H6" s="535">
        <f t="shared" ref="H6:H64" si="1">33.132*F6^0.5007</f>
        <v>350.69355251391727</v>
      </c>
      <c r="J6" s="534">
        <v>110.96</v>
      </c>
      <c r="K6" s="534">
        <v>647.36</v>
      </c>
      <c r="L6" s="536">
        <f t="shared" ref="L6:L60" si="2">177.46*J6^0.2734</f>
        <v>643.05628034974507</v>
      </c>
      <c r="N6" s="534">
        <v>110</v>
      </c>
      <c r="O6" s="534">
        <v>720</v>
      </c>
      <c r="P6" s="536">
        <f t="shared" ref="P6:P49" si="3">66.959*N6^0.5023</f>
        <v>709.90544103006698</v>
      </c>
      <c r="R6" s="534">
        <v>110</v>
      </c>
      <c r="S6" s="534">
        <v>1130</v>
      </c>
      <c r="T6" s="536">
        <f t="shared" ref="T6:T49" si="4">308.05*R6^0.2753</f>
        <v>1123.6126483612707</v>
      </c>
      <c r="V6" s="534">
        <v>110</v>
      </c>
      <c r="W6" s="534">
        <v>1660</v>
      </c>
      <c r="X6" s="536">
        <f t="shared" ref="X6:X49" si="5">153.54*V6^0.5049</f>
        <v>1647.8614842015027</v>
      </c>
    </row>
    <row r="7" spans="2:24">
      <c r="B7" s="534">
        <v>126.04</v>
      </c>
      <c r="C7" s="534">
        <v>234.32</v>
      </c>
      <c r="D7" s="535">
        <f t="shared" si="0"/>
        <v>236.10180813429793</v>
      </c>
      <c r="F7" s="534">
        <v>116.52</v>
      </c>
      <c r="G7" s="534">
        <v>350.84</v>
      </c>
      <c r="H7" s="535">
        <f t="shared" si="1"/>
        <v>358.83464835146674</v>
      </c>
      <c r="J7" s="534">
        <v>119.73</v>
      </c>
      <c r="K7" s="534">
        <v>661.84</v>
      </c>
      <c r="L7" s="536">
        <f t="shared" si="2"/>
        <v>656.57020793201889</v>
      </c>
      <c r="N7" s="534">
        <v>120</v>
      </c>
      <c r="O7" s="534">
        <v>750</v>
      </c>
      <c r="P7" s="536">
        <f t="shared" si="3"/>
        <v>741.62045355691725</v>
      </c>
      <c r="R7" s="534">
        <v>120</v>
      </c>
      <c r="S7" s="534">
        <v>1145</v>
      </c>
      <c r="T7" s="536">
        <f t="shared" si="4"/>
        <v>1150.852883433859</v>
      </c>
      <c r="V7" s="534">
        <v>120</v>
      </c>
      <c r="W7" s="534">
        <v>1735</v>
      </c>
      <c r="X7" s="536">
        <f t="shared" si="5"/>
        <v>1721.8691593911858</v>
      </c>
    </row>
    <row r="8" spans="2:24">
      <c r="B8" s="534">
        <v>134.37</v>
      </c>
      <c r="C8" s="534">
        <v>243.78</v>
      </c>
      <c r="D8" s="535">
        <f t="shared" si="0"/>
        <v>243.91007701108563</v>
      </c>
      <c r="F8" s="534">
        <v>123.47</v>
      </c>
      <c r="G8" s="534">
        <v>359.66</v>
      </c>
      <c r="H8" s="535">
        <f t="shared" si="1"/>
        <v>369.39623934569715</v>
      </c>
      <c r="J8" s="534">
        <v>127.63</v>
      </c>
      <c r="K8" s="534">
        <v>673.68</v>
      </c>
      <c r="L8" s="536">
        <f t="shared" si="2"/>
        <v>668.14075622796679</v>
      </c>
      <c r="N8" s="534">
        <v>130</v>
      </c>
      <c r="O8" s="534">
        <v>775</v>
      </c>
      <c r="P8" s="536">
        <f t="shared" si="3"/>
        <v>772.04516040240333</v>
      </c>
      <c r="R8" s="534">
        <v>130</v>
      </c>
      <c r="S8" s="534">
        <v>1175</v>
      </c>
      <c r="T8" s="536">
        <f t="shared" si="4"/>
        <v>1176.4942745808983</v>
      </c>
      <c r="V8" s="534">
        <v>130</v>
      </c>
      <c r="W8" s="534">
        <v>1800</v>
      </c>
      <c r="X8" s="536">
        <f t="shared" si="5"/>
        <v>1792.881289094528</v>
      </c>
    </row>
    <row r="9" spans="2:24">
      <c r="B9" s="534">
        <v>148.43</v>
      </c>
      <c r="C9" s="534">
        <v>254.72</v>
      </c>
      <c r="D9" s="535">
        <f t="shared" si="0"/>
        <v>256.56798959518727</v>
      </c>
      <c r="F9" s="534">
        <v>129.56</v>
      </c>
      <c r="G9" s="534">
        <v>367.79</v>
      </c>
      <c r="H9" s="535">
        <f t="shared" si="1"/>
        <v>378.40934416447948</v>
      </c>
      <c r="J9" s="534">
        <v>135.08000000000001</v>
      </c>
      <c r="K9" s="534">
        <v>684.21</v>
      </c>
      <c r="L9" s="536">
        <f t="shared" si="2"/>
        <v>678.58471152561367</v>
      </c>
      <c r="N9" s="534">
        <v>140</v>
      </c>
      <c r="O9" s="534">
        <v>800</v>
      </c>
      <c r="P9" s="536">
        <f t="shared" si="3"/>
        <v>801.32569960411217</v>
      </c>
      <c r="R9" s="534">
        <v>140</v>
      </c>
      <c r="S9" s="534">
        <v>1200</v>
      </c>
      <c r="T9" s="536">
        <f t="shared" si="4"/>
        <v>1200.7435470187195</v>
      </c>
      <c r="V9" s="534">
        <v>140</v>
      </c>
      <c r="W9" s="534">
        <v>1870</v>
      </c>
      <c r="X9" s="536">
        <f t="shared" si="5"/>
        <v>1861.2365889547041</v>
      </c>
    </row>
    <row r="10" spans="2:24">
      <c r="B10" s="534">
        <v>154.68</v>
      </c>
      <c r="C10" s="534">
        <v>259.2</v>
      </c>
      <c r="D10" s="535">
        <f t="shared" si="0"/>
        <v>262.00475545470186</v>
      </c>
      <c r="F10" s="534">
        <v>134.78</v>
      </c>
      <c r="G10" s="534">
        <v>376.61</v>
      </c>
      <c r="H10" s="535">
        <f t="shared" si="1"/>
        <v>385.96783738971385</v>
      </c>
      <c r="J10" s="534">
        <v>141.22</v>
      </c>
      <c r="K10" s="534">
        <v>692.1</v>
      </c>
      <c r="L10" s="536">
        <f t="shared" si="2"/>
        <v>686.88194392278149</v>
      </c>
      <c r="N10" s="534">
        <v>150</v>
      </c>
      <c r="O10" s="534">
        <v>825</v>
      </c>
      <c r="P10" s="536">
        <f t="shared" si="3"/>
        <v>829.58253137122119</v>
      </c>
      <c r="R10" s="534">
        <v>150</v>
      </c>
      <c r="S10" s="534">
        <v>1230</v>
      </c>
      <c r="T10" s="536">
        <f t="shared" si="4"/>
        <v>1223.7681239702922</v>
      </c>
      <c r="V10" s="534">
        <v>150</v>
      </c>
      <c r="W10" s="534">
        <v>1940</v>
      </c>
      <c r="X10" s="536">
        <f t="shared" si="5"/>
        <v>1927.2143154649209</v>
      </c>
    </row>
    <row r="11" spans="2:24">
      <c r="B11" s="534">
        <v>166.14</v>
      </c>
      <c r="C11" s="534">
        <v>269.14999999999998</v>
      </c>
      <c r="D11" s="535">
        <f t="shared" si="0"/>
        <v>271.70018346377469</v>
      </c>
      <c r="F11" s="534">
        <v>136.52000000000001</v>
      </c>
      <c r="G11" s="534">
        <v>377.96</v>
      </c>
      <c r="H11" s="535">
        <f t="shared" si="1"/>
        <v>388.4547442254057</v>
      </c>
      <c r="J11" s="534">
        <v>158.5</v>
      </c>
      <c r="K11" s="534">
        <v>696.96</v>
      </c>
      <c r="L11" s="536">
        <f t="shared" si="2"/>
        <v>708.90571684727342</v>
      </c>
      <c r="N11" s="534">
        <v>157</v>
      </c>
      <c r="O11" s="534">
        <v>850</v>
      </c>
      <c r="P11" s="536">
        <f t="shared" si="3"/>
        <v>848.80778565986577</v>
      </c>
      <c r="R11" s="534">
        <v>160</v>
      </c>
      <c r="S11" s="534">
        <v>1245</v>
      </c>
      <c r="T11" s="536">
        <f t="shared" si="4"/>
        <v>1245.7056790376712</v>
      </c>
      <c r="V11" s="534">
        <v>160</v>
      </c>
      <c r="W11" s="534">
        <v>2000</v>
      </c>
      <c r="X11" s="536">
        <f t="shared" si="5"/>
        <v>1991.0479331993918</v>
      </c>
    </row>
    <row r="12" spans="2:24">
      <c r="B12" s="534">
        <v>180.72</v>
      </c>
      <c r="C12" s="534">
        <v>281.58999999999997</v>
      </c>
      <c r="D12" s="535">
        <f t="shared" si="0"/>
        <v>283.57164755578418</v>
      </c>
      <c r="F12" s="534">
        <v>156.25</v>
      </c>
      <c r="G12" s="534">
        <v>413.43</v>
      </c>
      <c r="H12" s="535">
        <f t="shared" si="1"/>
        <v>415.61703492917502</v>
      </c>
      <c r="J12" s="534">
        <v>164</v>
      </c>
      <c r="K12" s="534">
        <v>706.06</v>
      </c>
      <c r="L12" s="536">
        <f t="shared" si="2"/>
        <v>715.54802151946637</v>
      </c>
      <c r="N12" s="534">
        <v>170</v>
      </c>
      <c r="O12" s="534">
        <v>887</v>
      </c>
      <c r="P12" s="536">
        <f t="shared" si="3"/>
        <v>883.41232135026667</v>
      </c>
      <c r="R12" s="534">
        <v>170</v>
      </c>
      <c r="S12" s="534">
        <v>1265</v>
      </c>
      <c r="T12" s="536">
        <f t="shared" si="4"/>
        <v>1266.6709228437401</v>
      </c>
      <c r="V12" s="534">
        <v>170</v>
      </c>
      <c r="W12" s="534">
        <v>2080</v>
      </c>
      <c r="X12" s="536">
        <f t="shared" si="5"/>
        <v>2052.9349891864563</v>
      </c>
    </row>
    <row r="13" spans="2:24">
      <c r="B13" s="534">
        <v>192.18</v>
      </c>
      <c r="C13" s="534">
        <v>291.04000000000002</v>
      </c>
      <c r="D13" s="535">
        <f t="shared" si="0"/>
        <v>292.57558939186305</v>
      </c>
      <c r="F13" s="534">
        <v>161.87</v>
      </c>
      <c r="G13" s="534">
        <v>422.38</v>
      </c>
      <c r="H13" s="535">
        <f t="shared" si="1"/>
        <v>423.03592739932952</v>
      </c>
      <c r="J13" s="534">
        <v>169</v>
      </c>
      <c r="K13" s="534">
        <v>712.12</v>
      </c>
      <c r="L13" s="536">
        <f t="shared" si="2"/>
        <v>721.44744919098355</v>
      </c>
      <c r="N13" s="534">
        <v>180</v>
      </c>
      <c r="O13" s="534">
        <v>917</v>
      </c>
      <c r="P13" s="536">
        <f t="shared" si="3"/>
        <v>909.14329133173646</v>
      </c>
      <c r="R13" s="534">
        <v>180</v>
      </c>
      <c r="S13" s="534">
        <v>1290</v>
      </c>
      <c r="T13" s="536">
        <f t="shared" si="4"/>
        <v>1286.7605384970771</v>
      </c>
      <c r="V13" s="534">
        <v>180</v>
      </c>
      <c r="W13" s="534">
        <v>2120</v>
      </c>
      <c r="X13" s="536">
        <f t="shared" si="5"/>
        <v>2113.0444068481397</v>
      </c>
    </row>
    <row r="14" spans="2:24">
      <c r="B14" s="534">
        <v>201.04</v>
      </c>
      <c r="C14" s="534">
        <v>298.5</v>
      </c>
      <c r="D14" s="535">
        <f t="shared" si="0"/>
        <v>299.35716402400402</v>
      </c>
      <c r="F14" s="534">
        <v>171.25</v>
      </c>
      <c r="G14" s="534">
        <v>438.05</v>
      </c>
      <c r="H14" s="535">
        <f t="shared" si="1"/>
        <v>435.13747186619224</v>
      </c>
      <c r="J14" s="534">
        <v>176</v>
      </c>
      <c r="K14" s="534">
        <v>725.75</v>
      </c>
      <c r="L14" s="536">
        <f t="shared" si="2"/>
        <v>729.49721892353796</v>
      </c>
      <c r="N14" s="534">
        <v>190</v>
      </c>
      <c r="O14" s="534">
        <v>938</v>
      </c>
      <c r="P14" s="536">
        <f t="shared" si="3"/>
        <v>934.17210068193776</v>
      </c>
      <c r="R14" s="534">
        <v>190</v>
      </c>
      <c r="S14" s="534">
        <v>1310</v>
      </c>
      <c r="T14" s="536">
        <f t="shared" si="4"/>
        <v>1306.0568444821808</v>
      </c>
      <c r="V14" s="534">
        <v>190</v>
      </c>
      <c r="W14" s="534">
        <v>2200</v>
      </c>
      <c r="X14" s="536">
        <f t="shared" si="5"/>
        <v>2171.5219788588079</v>
      </c>
    </row>
    <row r="15" spans="2:24">
      <c r="B15" s="534">
        <v>207.27</v>
      </c>
      <c r="C15" s="534">
        <v>303.62</v>
      </c>
      <c r="D15" s="535">
        <f t="shared" si="0"/>
        <v>304.03807568496029</v>
      </c>
      <c r="F15" s="534">
        <v>182.5</v>
      </c>
      <c r="G15" s="534">
        <v>455.97</v>
      </c>
      <c r="H15" s="535">
        <f t="shared" si="1"/>
        <v>449.22298682778035</v>
      </c>
      <c r="J15" s="534">
        <v>180.5</v>
      </c>
      <c r="K15" s="534">
        <v>731.81</v>
      </c>
      <c r="L15" s="536">
        <f t="shared" si="2"/>
        <v>734.54997005524444</v>
      </c>
      <c r="N15" s="534">
        <v>197</v>
      </c>
      <c r="O15" s="534">
        <v>950</v>
      </c>
      <c r="P15" s="536">
        <f t="shared" si="3"/>
        <v>951.30404732706859</v>
      </c>
      <c r="R15" s="534">
        <v>200</v>
      </c>
      <c r="S15" s="534">
        <v>1335</v>
      </c>
      <c r="T15" s="536">
        <f t="shared" si="4"/>
        <v>1324.6305620805979</v>
      </c>
      <c r="V15" s="534">
        <v>200</v>
      </c>
      <c r="W15" s="534">
        <v>2240</v>
      </c>
      <c r="X15" s="536">
        <f t="shared" si="5"/>
        <v>2228.4945744631668</v>
      </c>
    </row>
    <row r="16" spans="2:24">
      <c r="B16" s="534">
        <v>214.54</v>
      </c>
      <c r="C16" s="534">
        <v>307.24</v>
      </c>
      <c r="D16" s="535">
        <f t="shared" si="0"/>
        <v>309.41378105474092</v>
      </c>
      <c r="F16" s="534">
        <v>193.12</v>
      </c>
      <c r="G16" s="534">
        <v>472.76</v>
      </c>
      <c r="H16" s="535">
        <f t="shared" si="1"/>
        <v>462.12701597109265</v>
      </c>
      <c r="J16" s="534">
        <v>186.5</v>
      </c>
      <c r="K16" s="534">
        <v>740.9</v>
      </c>
      <c r="L16" s="536">
        <f t="shared" si="2"/>
        <v>741.14651527864828</v>
      </c>
      <c r="N16" s="534">
        <v>220</v>
      </c>
      <c r="O16" s="534">
        <v>1000</v>
      </c>
      <c r="P16" s="536">
        <f t="shared" si="3"/>
        <v>1005.5597275695773</v>
      </c>
      <c r="R16" s="534">
        <v>220</v>
      </c>
      <c r="S16" s="534">
        <v>1350</v>
      </c>
      <c r="T16" s="536">
        <f t="shared" si="4"/>
        <v>1359.8474060094256</v>
      </c>
      <c r="V16" s="534">
        <v>220</v>
      </c>
      <c r="W16" s="534">
        <v>2320</v>
      </c>
      <c r="X16" s="536">
        <f t="shared" si="5"/>
        <v>2338.3566318652452</v>
      </c>
    </row>
    <row r="17" spans="2:24">
      <c r="B17" s="534">
        <v>226.36</v>
      </c>
      <c r="C17" s="534">
        <v>315.94</v>
      </c>
      <c r="D17" s="535">
        <f t="shared" si="0"/>
        <v>317.966235577259</v>
      </c>
      <c r="F17" s="534">
        <v>199.37</v>
      </c>
      <c r="G17" s="534">
        <v>483.95</v>
      </c>
      <c r="H17" s="535">
        <f t="shared" si="1"/>
        <v>469.55591852214093</v>
      </c>
      <c r="J17" s="534">
        <v>192</v>
      </c>
      <c r="K17" s="534">
        <v>748.48</v>
      </c>
      <c r="L17" s="536">
        <f t="shared" si="2"/>
        <v>747.059225244804</v>
      </c>
      <c r="N17" s="534">
        <v>240</v>
      </c>
      <c r="O17" s="534">
        <v>1040</v>
      </c>
      <c r="P17" s="536">
        <f t="shared" si="3"/>
        <v>1050.4830899121603</v>
      </c>
      <c r="R17" s="534">
        <v>240</v>
      </c>
      <c r="S17" s="534">
        <v>1390</v>
      </c>
      <c r="T17" s="536">
        <f t="shared" si="4"/>
        <v>1392.8147840970353</v>
      </c>
      <c r="V17" s="534">
        <v>240</v>
      </c>
      <c r="W17" s="534">
        <v>2440</v>
      </c>
      <c r="X17" s="536">
        <f t="shared" si="5"/>
        <v>2443.3753726683181</v>
      </c>
    </row>
    <row r="18" spans="2:24">
      <c r="B18" s="534">
        <v>245.45</v>
      </c>
      <c r="C18" s="534">
        <v>329.71</v>
      </c>
      <c r="D18" s="535">
        <f t="shared" si="0"/>
        <v>331.32793441611852</v>
      </c>
      <c r="F18" s="534">
        <v>211.5</v>
      </c>
      <c r="G18" s="534">
        <v>492.13</v>
      </c>
      <c r="H18" s="535">
        <f t="shared" si="1"/>
        <v>483.64929138051315</v>
      </c>
      <c r="J18" s="534">
        <v>197</v>
      </c>
      <c r="K18" s="534">
        <v>754.54</v>
      </c>
      <c r="L18" s="536">
        <f t="shared" si="2"/>
        <v>752.32855053587264</v>
      </c>
      <c r="N18" s="534">
        <v>260</v>
      </c>
      <c r="O18" s="534">
        <v>1090</v>
      </c>
      <c r="P18" s="536">
        <f t="shared" si="3"/>
        <v>1093.5787730253082</v>
      </c>
      <c r="R18" s="534">
        <v>260</v>
      </c>
      <c r="S18" s="534">
        <v>1425</v>
      </c>
      <c r="T18" s="536">
        <f t="shared" si="4"/>
        <v>1423.8471681562819</v>
      </c>
      <c r="V18" s="534">
        <v>260</v>
      </c>
      <c r="W18" s="534">
        <v>2550</v>
      </c>
      <c r="X18" s="536">
        <f t="shared" si="5"/>
        <v>2544.1433595571862</v>
      </c>
    </row>
    <row r="19" spans="2:24">
      <c r="B19" s="534">
        <v>262.72000000000003</v>
      </c>
      <c r="C19" s="534">
        <v>342.75</v>
      </c>
      <c r="D19" s="535">
        <f t="shared" si="0"/>
        <v>342.98186325808808</v>
      </c>
      <c r="F19" s="534">
        <v>226.54</v>
      </c>
      <c r="G19" s="534">
        <v>512.35</v>
      </c>
      <c r="H19" s="535">
        <f t="shared" si="1"/>
        <v>500.57447690662133</v>
      </c>
      <c r="J19" s="534">
        <v>198.5</v>
      </c>
      <c r="K19" s="534">
        <v>756.06</v>
      </c>
      <c r="L19" s="536">
        <f t="shared" si="2"/>
        <v>753.89037891347562</v>
      </c>
      <c r="N19" s="534">
        <v>280</v>
      </c>
      <c r="O19" s="534">
        <v>1133</v>
      </c>
      <c r="P19" s="536">
        <f t="shared" si="3"/>
        <v>1135.0537770484336</v>
      </c>
      <c r="R19" s="534">
        <v>280</v>
      </c>
      <c r="S19" s="534">
        <v>1450</v>
      </c>
      <c r="T19" s="536">
        <f t="shared" si="4"/>
        <v>1453.1947464968064</v>
      </c>
      <c r="V19" s="534">
        <v>280</v>
      </c>
      <c r="W19" s="534">
        <v>2650</v>
      </c>
      <c r="X19" s="536">
        <f t="shared" si="5"/>
        <v>2641.1412384951909</v>
      </c>
    </row>
    <row r="20" spans="2:24">
      <c r="B20" s="534">
        <v>280</v>
      </c>
      <c r="C20" s="534">
        <v>354.34</v>
      </c>
      <c r="D20" s="535">
        <f t="shared" si="0"/>
        <v>354.27131422603537</v>
      </c>
      <c r="F20" s="534">
        <v>242.47</v>
      </c>
      <c r="G20" s="534">
        <v>529.21</v>
      </c>
      <c r="H20" s="535">
        <f t="shared" si="1"/>
        <v>517.90001014688733</v>
      </c>
      <c r="J20" s="534">
        <v>260</v>
      </c>
      <c r="K20" s="534">
        <v>803.63</v>
      </c>
      <c r="L20" s="536">
        <f t="shared" si="2"/>
        <v>811.62271000182079</v>
      </c>
      <c r="N20" s="534">
        <v>300</v>
      </c>
      <c r="O20" s="534">
        <v>1167</v>
      </c>
      <c r="P20" s="536">
        <f t="shared" si="3"/>
        <v>1175.0787302485176</v>
      </c>
      <c r="R20" s="534">
        <v>300</v>
      </c>
      <c r="S20" s="534">
        <v>1475</v>
      </c>
      <c r="T20" s="536">
        <f t="shared" si="4"/>
        <v>1481.0601423587389</v>
      </c>
      <c r="V20" s="534">
        <v>300</v>
      </c>
      <c r="W20" s="534">
        <v>2775</v>
      </c>
      <c r="X20" s="536">
        <f t="shared" si="5"/>
        <v>2734.7652814257872</v>
      </c>
    </row>
    <row r="21" spans="2:24">
      <c r="B21" s="534">
        <v>297.27</v>
      </c>
      <c r="C21" s="534">
        <v>365.94</v>
      </c>
      <c r="D21" s="535">
        <f t="shared" si="0"/>
        <v>365.21689169624472</v>
      </c>
      <c r="F21" s="534">
        <v>262.83</v>
      </c>
      <c r="G21" s="534">
        <v>550.55999999999995</v>
      </c>
      <c r="H21" s="535">
        <f t="shared" si="1"/>
        <v>539.23601761465181</v>
      </c>
      <c r="J21" s="534">
        <v>271.66000000000003</v>
      </c>
      <c r="K21" s="534">
        <v>816.36</v>
      </c>
      <c r="L21" s="536">
        <f t="shared" si="2"/>
        <v>821.41589509652692</v>
      </c>
      <c r="N21" s="534">
        <v>320</v>
      </c>
      <c r="O21" s="534">
        <v>1222</v>
      </c>
      <c r="P21" s="536">
        <f t="shared" si="3"/>
        <v>1213.7962549060262</v>
      </c>
      <c r="R21" s="534">
        <v>320</v>
      </c>
      <c r="S21" s="534">
        <v>1500</v>
      </c>
      <c r="T21" s="536">
        <f t="shared" si="4"/>
        <v>1507.6099746306274</v>
      </c>
      <c r="V21" s="534">
        <v>320</v>
      </c>
      <c r="W21" s="534">
        <v>2850</v>
      </c>
      <c r="X21" s="536">
        <f t="shared" si="5"/>
        <v>2825.3467804148713</v>
      </c>
    </row>
    <row r="22" spans="2:24">
      <c r="B22" s="534">
        <v>383.87</v>
      </c>
      <c r="C22" s="534">
        <v>410.16</v>
      </c>
      <c r="D22" s="535">
        <f t="shared" si="0"/>
        <v>415.9106858391437</v>
      </c>
      <c r="F22" s="534">
        <v>281.41000000000003</v>
      </c>
      <c r="G22" s="534">
        <v>570.78</v>
      </c>
      <c r="H22" s="535">
        <f t="shared" si="1"/>
        <v>557.99711490023822</v>
      </c>
      <c r="J22" s="534">
        <v>286.66000000000003</v>
      </c>
      <c r="K22" s="534">
        <v>836.36</v>
      </c>
      <c r="L22" s="536">
        <f t="shared" si="2"/>
        <v>833.57492376609639</v>
      </c>
      <c r="N22" s="534">
        <v>340</v>
      </c>
      <c r="O22" s="534">
        <v>1250</v>
      </c>
      <c r="P22" s="536">
        <f t="shared" si="3"/>
        <v>1251.3270103968084</v>
      </c>
      <c r="R22" s="534">
        <v>340</v>
      </c>
      <c r="S22" s="534">
        <v>1530</v>
      </c>
      <c r="T22" s="536">
        <f t="shared" si="4"/>
        <v>1532.9830713536105</v>
      </c>
      <c r="V22" s="534">
        <v>340</v>
      </c>
      <c r="W22" s="534">
        <v>2900</v>
      </c>
      <c r="X22" s="536">
        <f t="shared" si="5"/>
        <v>2913.1660596330466</v>
      </c>
    </row>
    <row r="23" spans="2:24">
      <c r="B23" s="534">
        <v>390.96</v>
      </c>
      <c r="C23" s="534">
        <v>428.81</v>
      </c>
      <c r="D23" s="535">
        <f t="shared" si="0"/>
        <v>419.7985361246819</v>
      </c>
      <c r="F23" s="534">
        <v>298.23</v>
      </c>
      <c r="G23" s="534">
        <v>592.13</v>
      </c>
      <c r="H23" s="535">
        <f t="shared" si="1"/>
        <v>574.45432412164018</v>
      </c>
      <c r="J23" s="534">
        <v>298.33</v>
      </c>
      <c r="K23" s="534">
        <v>847.27</v>
      </c>
      <c r="L23" s="536">
        <f t="shared" si="2"/>
        <v>842.71867335829302</v>
      </c>
      <c r="N23" s="534">
        <v>360</v>
      </c>
      <c r="O23" s="534">
        <v>1277</v>
      </c>
      <c r="P23" s="536">
        <f t="shared" si="3"/>
        <v>1287.7741562689753</v>
      </c>
      <c r="R23" s="534">
        <v>360</v>
      </c>
      <c r="S23" s="534">
        <v>1570</v>
      </c>
      <c r="T23" s="536">
        <f t="shared" si="4"/>
        <v>1557.296442846678</v>
      </c>
      <c r="V23" s="534">
        <v>360</v>
      </c>
      <c r="W23" s="534">
        <v>3000</v>
      </c>
      <c r="X23" s="536">
        <f t="shared" si="5"/>
        <v>2998.4628256381484</v>
      </c>
    </row>
    <row r="24" spans="2:24">
      <c r="B24" s="534">
        <v>398.7</v>
      </c>
      <c r="C24" s="534">
        <v>444.06</v>
      </c>
      <c r="D24" s="535">
        <f t="shared" si="0"/>
        <v>424.00345111762499</v>
      </c>
      <c r="F24" s="534">
        <v>309.73</v>
      </c>
      <c r="G24" s="534">
        <v>603.37</v>
      </c>
      <c r="H24" s="535">
        <f t="shared" si="1"/>
        <v>585.44078873018952</v>
      </c>
      <c r="J24" s="534">
        <v>313.33</v>
      </c>
      <c r="K24" s="534">
        <v>861.81</v>
      </c>
      <c r="L24" s="536">
        <f t="shared" si="2"/>
        <v>854.09743608474002</v>
      </c>
      <c r="N24" s="534">
        <v>380</v>
      </c>
      <c r="O24" s="534">
        <v>1320</v>
      </c>
      <c r="P24" s="536">
        <f t="shared" si="3"/>
        <v>1323.2267127039011</v>
      </c>
      <c r="R24" s="534">
        <v>380</v>
      </c>
      <c r="S24" s="534">
        <v>1590</v>
      </c>
      <c r="T24" s="536">
        <f t="shared" si="4"/>
        <v>1580.649714703912</v>
      </c>
      <c r="V24" s="534">
        <v>380</v>
      </c>
      <c r="W24" s="534">
        <v>3060</v>
      </c>
      <c r="X24" s="536">
        <f t="shared" si="5"/>
        <v>3081.4439618789675</v>
      </c>
    </row>
    <row r="25" spans="2:24">
      <c r="B25" s="534">
        <v>409.37</v>
      </c>
      <c r="C25" s="534">
        <v>430.55</v>
      </c>
      <c r="D25" s="535">
        <f t="shared" si="0"/>
        <v>429.73490083509705</v>
      </c>
      <c r="F25" s="534">
        <v>315.04000000000002</v>
      </c>
      <c r="G25" s="534">
        <v>610.11</v>
      </c>
      <c r="H25" s="535">
        <f t="shared" si="1"/>
        <v>590.44487601716185</v>
      </c>
      <c r="J25" s="534">
        <v>302.52999999999997</v>
      </c>
      <c r="K25" s="534">
        <v>848.21</v>
      </c>
      <c r="L25" s="536">
        <f t="shared" si="2"/>
        <v>845.9458626108775</v>
      </c>
      <c r="N25" s="534">
        <v>400</v>
      </c>
      <c r="O25" s="534">
        <v>1350</v>
      </c>
      <c r="P25" s="536">
        <f t="shared" si="3"/>
        <v>1357.7621341002687</v>
      </c>
      <c r="R25" s="534">
        <v>400</v>
      </c>
      <c r="S25" s="534">
        <v>1600</v>
      </c>
      <c r="T25" s="536">
        <f t="shared" si="4"/>
        <v>1603.1284770540831</v>
      </c>
      <c r="V25" s="534">
        <v>400</v>
      </c>
      <c r="W25" s="534">
        <v>3150</v>
      </c>
      <c r="X25" s="536">
        <f t="shared" si="5"/>
        <v>3162.2894989846468</v>
      </c>
    </row>
    <row r="26" spans="2:24">
      <c r="B26" s="534">
        <v>423.43</v>
      </c>
      <c r="C26" s="534">
        <v>437.03</v>
      </c>
      <c r="D26" s="535">
        <f t="shared" si="0"/>
        <v>437.17631312611144</v>
      </c>
      <c r="F26" s="534">
        <v>339.04</v>
      </c>
      <c r="G26" s="534">
        <v>612.98</v>
      </c>
      <c r="H26" s="535">
        <f t="shared" si="1"/>
        <v>612.55388414408367</v>
      </c>
      <c r="J26" s="534">
        <v>326.58</v>
      </c>
      <c r="K26" s="534">
        <v>864.28</v>
      </c>
      <c r="L26" s="536">
        <f t="shared" si="2"/>
        <v>863.82392753464853</v>
      </c>
      <c r="N26" s="534">
        <v>430</v>
      </c>
      <c r="O26" s="534">
        <v>1400</v>
      </c>
      <c r="P26" s="536">
        <f t="shared" si="3"/>
        <v>1407.9919256871635</v>
      </c>
      <c r="R26" s="534">
        <v>430</v>
      </c>
      <c r="S26" s="534">
        <v>1630</v>
      </c>
      <c r="T26" s="536">
        <f t="shared" si="4"/>
        <v>1635.3664316079887</v>
      </c>
      <c r="V26" s="534">
        <v>420</v>
      </c>
      <c r="W26" s="534">
        <v>3200</v>
      </c>
      <c r="X26" s="536">
        <f t="shared" si="5"/>
        <v>3241.1572570772414</v>
      </c>
    </row>
    <row r="27" spans="2:24">
      <c r="B27" s="534">
        <v>439.06</v>
      </c>
      <c r="C27" s="534">
        <v>445.37</v>
      </c>
      <c r="D27" s="535">
        <f t="shared" si="0"/>
        <v>445.30747193934019</v>
      </c>
      <c r="F27" s="534">
        <v>365.71</v>
      </c>
      <c r="G27" s="534">
        <v>636.36</v>
      </c>
      <c r="H27" s="535">
        <f t="shared" si="1"/>
        <v>636.22432028470462</v>
      </c>
      <c r="J27" s="534">
        <v>345.56</v>
      </c>
      <c r="K27" s="534">
        <v>876.78</v>
      </c>
      <c r="L27" s="536">
        <f t="shared" si="2"/>
        <v>877.26901941657093</v>
      </c>
      <c r="N27" s="534">
        <v>450</v>
      </c>
      <c r="O27" s="534">
        <v>1443</v>
      </c>
      <c r="P27" s="536">
        <f t="shared" si="3"/>
        <v>1440.5144023041228</v>
      </c>
      <c r="R27" s="534">
        <v>450</v>
      </c>
      <c r="S27" s="534">
        <v>1650</v>
      </c>
      <c r="T27" s="536">
        <f t="shared" si="4"/>
        <v>1655.9629590897359</v>
      </c>
      <c r="V27" s="534">
        <v>450</v>
      </c>
      <c r="W27" s="534">
        <v>3320</v>
      </c>
      <c r="X27" s="536">
        <f t="shared" si="5"/>
        <v>3356.0508650973516</v>
      </c>
    </row>
    <row r="28" spans="2:24">
      <c r="B28" s="534">
        <v>459.37</v>
      </c>
      <c r="C28" s="534">
        <v>455.55</v>
      </c>
      <c r="D28" s="535">
        <f t="shared" si="0"/>
        <v>455.66358851046397</v>
      </c>
      <c r="F28" s="534">
        <v>384.76</v>
      </c>
      <c r="G28" s="534">
        <v>655.84</v>
      </c>
      <c r="H28" s="535">
        <f t="shared" si="1"/>
        <v>652.60777515750306</v>
      </c>
      <c r="J28" s="534">
        <v>359.49</v>
      </c>
      <c r="K28" s="534">
        <v>887.5</v>
      </c>
      <c r="L28" s="536">
        <f t="shared" si="2"/>
        <v>886.79911726921284</v>
      </c>
      <c r="N28" s="534">
        <v>500</v>
      </c>
      <c r="O28" s="534">
        <v>1529</v>
      </c>
      <c r="P28" s="536">
        <f t="shared" si="3"/>
        <v>1518.803510346343</v>
      </c>
      <c r="R28" s="534">
        <v>500</v>
      </c>
      <c r="S28" s="534">
        <v>1700</v>
      </c>
      <c r="T28" s="536">
        <f t="shared" si="4"/>
        <v>1704.6987995495401</v>
      </c>
      <c r="V28" s="534">
        <v>500</v>
      </c>
      <c r="W28" s="534">
        <v>3500</v>
      </c>
      <c r="X28" s="536">
        <f t="shared" si="5"/>
        <v>3539.4150356014561</v>
      </c>
    </row>
    <row r="29" spans="2:24">
      <c r="B29" s="534">
        <v>479.68</v>
      </c>
      <c r="C29" s="534">
        <v>467.59</v>
      </c>
      <c r="D29" s="535">
        <f t="shared" si="0"/>
        <v>465.79695419445613</v>
      </c>
      <c r="F29" s="534">
        <v>398.73</v>
      </c>
      <c r="G29" s="534">
        <v>667.53</v>
      </c>
      <c r="H29" s="535">
        <f t="shared" si="1"/>
        <v>664.36628401375481</v>
      </c>
      <c r="J29" s="534">
        <v>373.41</v>
      </c>
      <c r="K29" s="534">
        <v>896.42</v>
      </c>
      <c r="L29" s="536">
        <f t="shared" si="2"/>
        <v>896.05798510574471</v>
      </c>
      <c r="N29" s="534">
        <v>550</v>
      </c>
      <c r="O29" s="534">
        <v>1575</v>
      </c>
      <c r="P29" s="536">
        <f t="shared" si="3"/>
        <v>1593.2837911823021</v>
      </c>
      <c r="R29" s="534">
        <v>550</v>
      </c>
      <c r="S29" s="534">
        <v>1740</v>
      </c>
      <c r="T29" s="536">
        <f t="shared" si="4"/>
        <v>1750.0201995594416</v>
      </c>
      <c r="V29" s="534">
        <v>550</v>
      </c>
      <c r="W29" s="534">
        <v>3700</v>
      </c>
      <c r="X29" s="536">
        <f t="shared" si="5"/>
        <v>3713.9038686759968</v>
      </c>
    </row>
    <row r="30" spans="2:24">
      <c r="B30" s="534">
        <v>495.31</v>
      </c>
      <c r="C30" s="534">
        <v>476.85</v>
      </c>
      <c r="D30" s="535">
        <f t="shared" si="0"/>
        <v>473.45244207059079</v>
      </c>
      <c r="F30" s="534">
        <v>382.53</v>
      </c>
      <c r="G30" s="534">
        <v>655.6</v>
      </c>
      <c r="H30" s="535">
        <f t="shared" si="1"/>
        <v>650.71118040650219</v>
      </c>
      <c r="J30" s="534">
        <v>384.81</v>
      </c>
      <c r="K30" s="534">
        <v>905.35</v>
      </c>
      <c r="L30" s="536">
        <f t="shared" si="2"/>
        <v>903.45563109875377</v>
      </c>
      <c r="N30" s="534">
        <v>600</v>
      </c>
      <c r="O30" s="534">
        <v>1657</v>
      </c>
      <c r="P30" s="536">
        <f t="shared" si="3"/>
        <v>1664.4637152618445</v>
      </c>
      <c r="R30" s="534">
        <v>600</v>
      </c>
      <c r="S30" s="534">
        <v>1790</v>
      </c>
      <c r="T30" s="536">
        <f t="shared" si="4"/>
        <v>1792.4467080962615</v>
      </c>
      <c r="V30" s="534">
        <v>600</v>
      </c>
      <c r="W30" s="534">
        <v>3880</v>
      </c>
      <c r="X30" s="536">
        <f t="shared" si="5"/>
        <v>3880.7002856284034</v>
      </c>
    </row>
    <row r="31" spans="2:24">
      <c r="B31" s="534">
        <v>523.42999999999995</v>
      </c>
      <c r="C31" s="534">
        <v>491.66</v>
      </c>
      <c r="D31" s="535">
        <f t="shared" si="0"/>
        <v>486.93227634378587</v>
      </c>
      <c r="F31" s="534">
        <v>401.58</v>
      </c>
      <c r="G31" s="534">
        <v>673.83</v>
      </c>
      <c r="H31" s="535">
        <f t="shared" si="1"/>
        <v>666.73972384857927</v>
      </c>
      <c r="J31" s="534">
        <v>396.2</v>
      </c>
      <c r="K31" s="534">
        <v>914.28</v>
      </c>
      <c r="L31" s="536">
        <f t="shared" si="2"/>
        <v>910.6894251416968</v>
      </c>
      <c r="N31" s="534">
        <v>625</v>
      </c>
      <c r="O31" s="534">
        <v>1700</v>
      </c>
      <c r="P31" s="536">
        <f t="shared" si="3"/>
        <v>1698.9456732559181</v>
      </c>
      <c r="R31" s="534">
        <v>625</v>
      </c>
      <c r="S31" s="534">
        <v>1800</v>
      </c>
      <c r="T31" s="536">
        <f t="shared" si="4"/>
        <v>1812.7043707225014</v>
      </c>
      <c r="V31" s="534">
        <v>630</v>
      </c>
      <c r="W31" s="534">
        <v>4000</v>
      </c>
      <c r="X31" s="536">
        <f t="shared" si="5"/>
        <v>3977.4852673497408</v>
      </c>
    </row>
    <row r="32" spans="2:24">
      <c r="B32" s="534">
        <v>534.37</v>
      </c>
      <c r="C32" s="534">
        <v>498.14</v>
      </c>
      <c r="D32" s="535">
        <f t="shared" si="0"/>
        <v>492.08004404813494</v>
      </c>
      <c r="F32" s="534">
        <v>426.98</v>
      </c>
      <c r="G32" s="534">
        <v>689.25</v>
      </c>
      <c r="H32" s="535">
        <f t="shared" si="1"/>
        <v>687.53166428346458</v>
      </c>
      <c r="J32" s="534">
        <v>414.28</v>
      </c>
      <c r="K32" s="534">
        <v>925.42</v>
      </c>
      <c r="L32" s="536">
        <f t="shared" si="2"/>
        <v>921.86780464089566</v>
      </c>
      <c r="N32" s="534">
        <v>650</v>
      </c>
      <c r="O32" s="534">
        <v>1728</v>
      </c>
      <c r="P32" s="536">
        <f t="shared" si="3"/>
        <v>1732.747728127064</v>
      </c>
      <c r="R32" s="534">
        <v>650</v>
      </c>
      <c r="S32" s="534">
        <v>1830</v>
      </c>
      <c r="T32" s="536">
        <f t="shared" si="4"/>
        <v>1832.383026468583</v>
      </c>
      <c r="V32" s="534">
        <v>650</v>
      </c>
      <c r="W32" s="534">
        <v>4080</v>
      </c>
      <c r="X32" s="536">
        <f t="shared" si="5"/>
        <v>4040.7454264103426</v>
      </c>
    </row>
    <row r="33" spans="2:24">
      <c r="B33" s="534">
        <v>561.53</v>
      </c>
      <c r="C33" s="534">
        <v>503.61</v>
      </c>
      <c r="D33" s="535">
        <f t="shared" si="0"/>
        <v>504.64045122159388</v>
      </c>
      <c r="F33" s="534">
        <v>447.61</v>
      </c>
      <c r="G33" s="534">
        <v>710.28</v>
      </c>
      <c r="H33" s="535">
        <f t="shared" si="1"/>
        <v>703.96841292031718</v>
      </c>
      <c r="J33" s="534">
        <v>426.98</v>
      </c>
      <c r="K33" s="534">
        <v>928.81</v>
      </c>
      <c r="L33" s="536">
        <f t="shared" si="2"/>
        <v>929.5096366801348</v>
      </c>
      <c r="N33" s="534">
        <v>700</v>
      </c>
      <c r="O33" s="534">
        <v>1800</v>
      </c>
      <c r="P33" s="536">
        <f t="shared" si="3"/>
        <v>1798.4638162295435</v>
      </c>
      <c r="R33" s="534">
        <v>700</v>
      </c>
      <c r="S33" s="534">
        <v>1865</v>
      </c>
      <c r="T33" s="536">
        <f t="shared" si="4"/>
        <v>1870.1511280049074</v>
      </c>
      <c r="V33" s="534">
        <v>700</v>
      </c>
      <c r="W33" s="534">
        <v>4200</v>
      </c>
      <c r="X33" s="536">
        <f t="shared" si="5"/>
        <v>4194.8026788123734</v>
      </c>
    </row>
    <row r="34" spans="2:24">
      <c r="B34" s="534">
        <v>585.71</v>
      </c>
      <c r="C34" s="534">
        <v>510.84</v>
      </c>
      <c r="D34" s="535">
        <f t="shared" si="0"/>
        <v>515.57363294545019</v>
      </c>
      <c r="F34" s="534">
        <v>468.25</v>
      </c>
      <c r="G34" s="534">
        <v>721.49</v>
      </c>
      <c r="H34" s="535">
        <f t="shared" si="1"/>
        <v>720.03876802308309</v>
      </c>
      <c r="J34" s="534">
        <v>446.03</v>
      </c>
      <c r="K34" s="534">
        <v>937.28</v>
      </c>
      <c r="L34" s="536">
        <f t="shared" si="2"/>
        <v>940.66852792884447</v>
      </c>
      <c r="N34" s="534">
        <v>750</v>
      </c>
      <c r="O34" s="534">
        <v>1850</v>
      </c>
      <c r="P34" s="536">
        <f t="shared" si="3"/>
        <v>1861.8823357148624</v>
      </c>
      <c r="R34" s="534">
        <v>750</v>
      </c>
      <c r="S34" s="534">
        <v>1900</v>
      </c>
      <c r="T34" s="536">
        <f t="shared" si="4"/>
        <v>1906.0117734064422</v>
      </c>
      <c r="V34" s="534">
        <v>750</v>
      </c>
      <c r="W34" s="534">
        <v>4335</v>
      </c>
      <c r="X34" s="536">
        <f t="shared" si="5"/>
        <v>4343.5014232650828</v>
      </c>
    </row>
    <row r="35" spans="2:24">
      <c r="B35" s="534">
        <v>598.9</v>
      </c>
      <c r="C35" s="534">
        <v>520.48</v>
      </c>
      <c r="D35" s="535">
        <f t="shared" si="0"/>
        <v>521.44412419608284</v>
      </c>
      <c r="F35" s="534">
        <v>484.12</v>
      </c>
      <c r="G35" s="534">
        <v>736.91</v>
      </c>
      <c r="H35" s="535">
        <f t="shared" si="1"/>
        <v>732.15601071030176</v>
      </c>
      <c r="J35" s="534">
        <v>457.14</v>
      </c>
      <c r="K35" s="534">
        <v>945.76</v>
      </c>
      <c r="L35" s="536">
        <f t="shared" si="2"/>
        <v>947.01734861994976</v>
      </c>
      <c r="N35" s="534">
        <v>800</v>
      </c>
      <c r="O35" s="534">
        <v>1920</v>
      </c>
      <c r="P35" s="536">
        <f t="shared" si="3"/>
        <v>1923.229267955883</v>
      </c>
      <c r="R35" s="534">
        <v>800</v>
      </c>
      <c r="S35" s="534">
        <v>1930</v>
      </c>
      <c r="T35" s="536">
        <f t="shared" si="4"/>
        <v>1940.1793885119255</v>
      </c>
      <c r="V35" s="534">
        <v>800</v>
      </c>
      <c r="W35" s="534">
        <v>4500</v>
      </c>
      <c r="X35" s="536">
        <f t="shared" si="5"/>
        <v>4487.3678356598784</v>
      </c>
    </row>
    <row r="36" spans="2:24">
      <c r="B36" s="534">
        <v>623.07000000000005</v>
      </c>
      <c r="C36" s="534">
        <v>531.32000000000005</v>
      </c>
      <c r="D36" s="535">
        <f t="shared" si="0"/>
        <v>532.0388857762299</v>
      </c>
      <c r="F36" s="534">
        <v>495.23</v>
      </c>
      <c r="G36" s="534">
        <v>742.52</v>
      </c>
      <c r="H36" s="535">
        <f t="shared" si="1"/>
        <v>740.52118985747506</v>
      </c>
      <c r="J36" s="534">
        <v>469.84</v>
      </c>
      <c r="K36" s="534">
        <v>952.54</v>
      </c>
      <c r="L36" s="536">
        <f t="shared" si="2"/>
        <v>954.13890345292657</v>
      </c>
      <c r="N36" s="534">
        <v>850</v>
      </c>
      <c r="O36" s="534">
        <v>1967</v>
      </c>
      <c r="P36" s="536">
        <f t="shared" si="3"/>
        <v>1982.695794662176</v>
      </c>
      <c r="R36" s="534">
        <v>850</v>
      </c>
      <c r="S36" s="534">
        <v>1965</v>
      </c>
      <c r="T36" s="536">
        <f t="shared" si="4"/>
        <v>1972.8326344528809</v>
      </c>
      <c r="V36" s="534">
        <v>850</v>
      </c>
      <c r="W36" s="534">
        <v>4625</v>
      </c>
      <c r="X36" s="536">
        <f t="shared" si="5"/>
        <v>4626.8471419334273</v>
      </c>
    </row>
    <row r="37" spans="2:24">
      <c r="B37" s="534">
        <v>653.84</v>
      </c>
      <c r="C37" s="534">
        <v>546.98</v>
      </c>
      <c r="D37" s="535">
        <f t="shared" si="0"/>
        <v>545.23854314952382</v>
      </c>
      <c r="F37" s="534">
        <v>530.42999999999995</v>
      </c>
      <c r="G37" s="534">
        <v>759.89</v>
      </c>
      <c r="H37" s="535">
        <f t="shared" si="1"/>
        <v>766.42371037417331</v>
      </c>
      <c r="J37" s="534">
        <v>482.53</v>
      </c>
      <c r="K37" s="534">
        <v>961.01</v>
      </c>
      <c r="L37" s="536">
        <f t="shared" si="2"/>
        <v>961.11648469236059</v>
      </c>
      <c r="N37" s="534">
        <v>900</v>
      </c>
      <c r="O37" s="534">
        <v>2040</v>
      </c>
      <c r="P37" s="536">
        <f t="shared" si="3"/>
        <v>2040.4453695117338</v>
      </c>
      <c r="R37" s="534">
        <v>900</v>
      </c>
      <c r="S37" s="534">
        <v>2000</v>
      </c>
      <c r="T37" s="536">
        <f t="shared" si="4"/>
        <v>2004.1220946115939</v>
      </c>
      <c r="V37" s="534">
        <v>900</v>
      </c>
      <c r="W37" s="534">
        <v>4725</v>
      </c>
      <c r="X37" s="536">
        <f t="shared" si="5"/>
        <v>4762.3200569434912</v>
      </c>
    </row>
    <row r="38" spans="2:24">
      <c r="B38" s="534">
        <v>689.01</v>
      </c>
      <c r="C38" s="534">
        <v>563.85</v>
      </c>
      <c r="D38" s="535">
        <f t="shared" si="0"/>
        <v>559.9570311165968</v>
      </c>
      <c r="F38" s="534">
        <v>554.34</v>
      </c>
      <c r="G38" s="534">
        <v>774.72</v>
      </c>
      <c r="H38" s="535">
        <f t="shared" si="1"/>
        <v>783.53139872341376</v>
      </c>
      <c r="J38" s="534">
        <v>495.23</v>
      </c>
      <c r="K38" s="534">
        <v>967.79</v>
      </c>
      <c r="L38" s="536">
        <f t="shared" si="2"/>
        <v>967.96732208781827</v>
      </c>
      <c r="N38" s="534">
        <v>950</v>
      </c>
      <c r="O38" s="534">
        <v>2085</v>
      </c>
      <c r="P38" s="536">
        <f t="shared" si="3"/>
        <v>2096.6190427158795</v>
      </c>
      <c r="R38" s="534">
        <v>950</v>
      </c>
      <c r="S38" s="534">
        <v>2040</v>
      </c>
      <c r="T38" s="536">
        <f t="shared" si="4"/>
        <v>2034.1759795514456</v>
      </c>
      <c r="V38" s="534">
        <v>950</v>
      </c>
      <c r="W38" s="534">
        <v>4830</v>
      </c>
      <c r="X38" s="536">
        <f t="shared" si="5"/>
        <v>4894.1151641192864</v>
      </c>
    </row>
    <row r="39" spans="2:24">
      <c r="B39" s="534">
        <v>700</v>
      </c>
      <c r="C39" s="534">
        <v>568.66999999999996</v>
      </c>
      <c r="D39" s="535">
        <f t="shared" si="0"/>
        <v>564.48016858444987</v>
      </c>
      <c r="F39" s="534">
        <v>593.47</v>
      </c>
      <c r="G39" s="534">
        <v>809.34</v>
      </c>
      <c r="H39" s="535">
        <f t="shared" si="1"/>
        <v>810.752724773821</v>
      </c>
      <c r="J39" s="534">
        <v>572.44000000000005</v>
      </c>
      <c r="K39" s="534">
        <v>1010.2</v>
      </c>
      <c r="L39" s="536">
        <f t="shared" si="2"/>
        <v>1007.0797230941319</v>
      </c>
      <c r="N39" s="534">
        <v>1000</v>
      </c>
      <c r="O39" s="534">
        <v>2140</v>
      </c>
      <c r="P39" s="536">
        <f t="shared" si="3"/>
        <v>2151.3395387976766</v>
      </c>
      <c r="R39" s="534">
        <v>1000</v>
      </c>
      <c r="S39" s="534">
        <v>2060</v>
      </c>
      <c r="T39" s="536">
        <f t="shared" si="4"/>
        <v>2063.1044372593115</v>
      </c>
      <c r="V39" s="534">
        <v>1000</v>
      </c>
      <c r="W39" s="534">
        <v>5000</v>
      </c>
      <c r="X39" s="536">
        <f t="shared" si="5"/>
        <v>5022.5183977964625</v>
      </c>
    </row>
    <row r="40" spans="2:24">
      <c r="B40" s="534">
        <v>819.35</v>
      </c>
      <c r="C40" s="534">
        <v>615.78</v>
      </c>
      <c r="D40" s="535">
        <f t="shared" si="0"/>
        <v>611.51725759702833</v>
      </c>
      <c r="F40" s="534">
        <v>645.65</v>
      </c>
      <c r="G40" s="534">
        <v>839.01</v>
      </c>
      <c r="H40" s="535">
        <f t="shared" si="1"/>
        <v>845.69395909097614</v>
      </c>
      <c r="J40" s="534">
        <v>598.97</v>
      </c>
      <c r="K40" s="534">
        <v>1018.36</v>
      </c>
      <c r="L40" s="536">
        <f t="shared" si="2"/>
        <v>1019.6309827150992</v>
      </c>
      <c r="N40" s="534">
        <v>1100</v>
      </c>
      <c r="O40" s="534">
        <v>2280</v>
      </c>
      <c r="P40" s="536">
        <f t="shared" si="3"/>
        <v>2256.8386187850642</v>
      </c>
      <c r="R40" s="534">
        <v>1100</v>
      </c>
      <c r="S40" s="534">
        <v>2120</v>
      </c>
      <c r="T40" s="536">
        <f t="shared" si="4"/>
        <v>2117.9544679438759</v>
      </c>
      <c r="V40" s="534">
        <v>1100</v>
      </c>
      <c r="W40" s="534">
        <v>5250</v>
      </c>
      <c r="X40" s="536">
        <f t="shared" si="5"/>
        <v>5270.1224130113642</v>
      </c>
    </row>
    <row r="41" spans="2:24">
      <c r="B41" s="534">
        <v>845.16</v>
      </c>
      <c r="C41" s="534">
        <v>622.36</v>
      </c>
      <c r="D41" s="535">
        <f t="shared" si="0"/>
        <v>621.23597830362917</v>
      </c>
      <c r="F41" s="534">
        <v>680.43</v>
      </c>
      <c r="G41" s="534">
        <v>867.03</v>
      </c>
      <c r="H41" s="535">
        <f t="shared" si="1"/>
        <v>868.2050902425533</v>
      </c>
      <c r="J41" s="534">
        <v>623.46</v>
      </c>
      <c r="K41" s="534">
        <v>1028.57</v>
      </c>
      <c r="L41" s="536">
        <f t="shared" si="2"/>
        <v>1030.8634629028711</v>
      </c>
      <c r="N41" s="534">
        <v>1200</v>
      </c>
      <c r="O41" s="534">
        <v>2360</v>
      </c>
      <c r="P41" s="536">
        <f t="shared" si="3"/>
        <v>2357.6628425887193</v>
      </c>
      <c r="R41" s="534">
        <v>1200</v>
      </c>
      <c r="S41" s="534">
        <v>2160</v>
      </c>
      <c r="T41" s="536">
        <f t="shared" si="4"/>
        <v>2169.300968594232</v>
      </c>
      <c r="V41" s="534">
        <v>1200</v>
      </c>
      <c r="W41" s="534">
        <v>5500</v>
      </c>
      <c r="X41" s="536">
        <f t="shared" si="5"/>
        <v>5506.8106974887523</v>
      </c>
    </row>
    <row r="42" spans="2:24">
      <c r="B42" s="534">
        <v>893.54</v>
      </c>
      <c r="C42" s="534">
        <v>639.47</v>
      </c>
      <c r="D42" s="535">
        <f t="shared" si="0"/>
        <v>639.06819212899484</v>
      </c>
      <c r="F42" s="534">
        <v>700</v>
      </c>
      <c r="G42" s="534">
        <v>878.57</v>
      </c>
      <c r="H42" s="535">
        <f t="shared" si="1"/>
        <v>880.61938501138968</v>
      </c>
      <c r="J42" s="534">
        <v>637.75</v>
      </c>
      <c r="K42" s="534">
        <v>1040.81</v>
      </c>
      <c r="L42" s="536">
        <f t="shared" si="2"/>
        <v>1037.2702330074408</v>
      </c>
      <c r="N42" s="534">
        <v>1300</v>
      </c>
      <c r="O42" s="534">
        <v>2450</v>
      </c>
      <c r="P42" s="536">
        <f t="shared" si="3"/>
        <v>2454.3850951671429</v>
      </c>
      <c r="R42" s="534">
        <v>1300</v>
      </c>
      <c r="S42" s="534">
        <v>2240</v>
      </c>
      <c r="T42" s="536">
        <f t="shared" si="4"/>
        <v>2217.6337272396363</v>
      </c>
      <c r="V42" s="534">
        <v>1300</v>
      </c>
      <c r="W42" s="534">
        <v>5700</v>
      </c>
      <c r="X42" s="536">
        <f t="shared" si="5"/>
        <v>5733.9187523424043</v>
      </c>
    </row>
    <row r="43" spans="2:24">
      <c r="B43" s="534">
        <v>932.25</v>
      </c>
      <c r="C43" s="534">
        <v>655.26</v>
      </c>
      <c r="D43" s="535">
        <f t="shared" si="0"/>
        <v>652.99689075431093</v>
      </c>
      <c r="F43" s="534">
        <v>747.05</v>
      </c>
      <c r="G43" s="534">
        <v>909.25</v>
      </c>
      <c r="H43" s="535">
        <f t="shared" si="1"/>
        <v>909.77465217036672</v>
      </c>
      <c r="J43" s="534">
        <v>650</v>
      </c>
      <c r="K43" s="534">
        <v>1044.8900000000001</v>
      </c>
      <c r="L43" s="536">
        <f t="shared" si="2"/>
        <v>1042.6798694378247</v>
      </c>
      <c r="N43" s="534">
        <v>1400</v>
      </c>
      <c r="O43" s="534">
        <v>2550</v>
      </c>
      <c r="P43" s="536">
        <f t="shared" si="3"/>
        <v>2547.4699594744002</v>
      </c>
      <c r="R43" s="534">
        <v>1400</v>
      </c>
      <c r="S43" s="534">
        <v>2260</v>
      </c>
      <c r="T43" s="536">
        <f t="shared" si="4"/>
        <v>2263.3424107249775</v>
      </c>
      <c r="V43" s="534">
        <v>1400</v>
      </c>
      <c r="W43" s="534">
        <v>5900</v>
      </c>
      <c r="X43" s="536">
        <f t="shared" si="5"/>
        <v>5952.5298439268327</v>
      </c>
    </row>
    <row r="44" spans="2:24">
      <c r="B44" s="534">
        <v>964.51</v>
      </c>
      <c r="C44" s="534">
        <v>665.78</v>
      </c>
      <c r="D44" s="535">
        <f t="shared" si="0"/>
        <v>664.38893239722654</v>
      </c>
      <c r="F44" s="534">
        <v>779.41</v>
      </c>
      <c r="G44" s="534">
        <v>924.07</v>
      </c>
      <c r="H44" s="535">
        <f t="shared" si="1"/>
        <v>929.29772863679375</v>
      </c>
      <c r="J44" s="534">
        <v>828.12</v>
      </c>
      <c r="K44" s="534">
        <v>1097.29</v>
      </c>
      <c r="L44" s="536">
        <f t="shared" si="2"/>
        <v>1114.0564006257148</v>
      </c>
      <c r="N44" s="534">
        <v>1500</v>
      </c>
      <c r="O44" s="534">
        <v>2650</v>
      </c>
      <c r="P44" s="536">
        <f t="shared" si="3"/>
        <v>2637.3003868676487</v>
      </c>
      <c r="R44" s="534">
        <v>1500</v>
      </c>
      <c r="S44" s="534">
        <v>2300</v>
      </c>
      <c r="T44" s="536">
        <f t="shared" si="4"/>
        <v>2306.742603574553</v>
      </c>
      <c r="V44" s="534">
        <v>1500</v>
      </c>
      <c r="W44" s="534">
        <v>6145</v>
      </c>
      <c r="X44" s="536">
        <f t="shared" si="5"/>
        <v>6163.5370788034461</v>
      </c>
    </row>
    <row r="45" spans="2:24">
      <c r="B45" s="534">
        <v>993.54</v>
      </c>
      <c r="C45" s="534">
        <v>677.63</v>
      </c>
      <c r="D45" s="535">
        <f t="shared" si="0"/>
        <v>674.48124902730058</v>
      </c>
      <c r="F45" s="534">
        <v>805.88</v>
      </c>
      <c r="G45" s="534">
        <v>940.74</v>
      </c>
      <c r="H45" s="535">
        <f t="shared" si="1"/>
        <v>944.96828034083512</v>
      </c>
      <c r="J45" s="534">
        <v>859.37</v>
      </c>
      <c r="K45" s="534">
        <v>1118.9100000000001</v>
      </c>
      <c r="L45" s="536">
        <f t="shared" si="2"/>
        <v>1125.3959315042823</v>
      </c>
      <c r="N45" s="534">
        <v>1600</v>
      </c>
      <c r="O45" s="534">
        <v>2750</v>
      </c>
      <c r="P45" s="536">
        <f t="shared" si="3"/>
        <v>2724.1964731717644</v>
      </c>
      <c r="R45" s="534">
        <v>1600</v>
      </c>
      <c r="S45" s="534">
        <v>2360</v>
      </c>
      <c r="T45" s="536">
        <f t="shared" si="4"/>
        <v>2348.0938137433627</v>
      </c>
      <c r="V45" s="534">
        <v>1600</v>
      </c>
      <c r="W45" s="534">
        <v>6400</v>
      </c>
      <c r="X45" s="536">
        <f t="shared" si="5"/>
        <v>6367.6871137131129</v>
      </c>
    </row>
    <row r="46" spans="2:24">
      <c r="B46" s="534">
        <v>1169.3800000000001</v>
      </c>
      <c r="C46" s="534">
        <v>734.92</v>
      </c>
      <c r="D46" s="535">
        <f t="shared" si="0"/>
        <v>732.73933115050818</v>
      </c>
      <c r="F46" s="534">
        <v>844.11</v>
      </c>
      <c r="G46" s="534">
        <v>961.11</v>
      </c>
      <c r="H46" s="535">
        <f t="shared" si="1"/>
        <v>967.15404974498119</v>
      </c>
      <c r="J46" s="534">
        <v>896.87</v>
      </c>
      <c r="K46" s="534">
        <v>1124.32</v>
      </c>
      <c r="L46" s="536">
        <f t="shared" si="2"/>
        <v>1138.6145303561484</v>
      </c>
      <c r="N46" s="534">
        <v>1700</v>
      </c>
      <c r="O46" s="534">
        <v>2820</v>
      </c>
      <c r="P46" s="536">
        <f t="shared" si="3"/>
        <v>2808.4290215341534</v>
      </c>
      <c r="R46" s="534">
        <v>1700</v>
      </c>
      <c r="S46" s="534">
        <v>2400</v>
      </c>
      <c r="T46" s="536">
        <f t="shared" si="4"/>
        <v>2387.6122651023384</v>
      </c>
      <c r="V46" s="534">
        <v>1700</v>
      </c>
      <c r="W46" s="534">
        <v>6625</v>
      </c>
      <c r="X46" s="536">
        <f t="shared" si="5"/>
        <v>6565.6117353877034</v>
      </c>
    </row>
    <row r="47" spans="2:24">
      <c r="B47" s="534">
        <v>1225.51</v>
      </c>
      <c r="C47" s="534">
        <v>746.03</v>
      </c>
      <c r="D47" s="535">
        <f t="shared" si="0"/>
        <v>750.41436075800755</v>
      </c>
      <c r="F47" s="534">
        <v>858.82</v>
      </c>
      <c r="G47" s="534">
        <v>968.51</v>
      </c>
      <c r="H47" s="535">
        <f t="shared" si="1"/>
        <v>975.55657209694243</v>
      </c>
      <c r="J47" s="534">
        <v>921.87</v>
      </c>
      <c r="K47" s="534">
        <v>1143.24</v>
      </c>
      <c r="L47" s="536">
        <f t="shared" si="2"/>
        <v>1147.2053622058581</v>
      </c>
      <c r="N47" s="534">
        <v>1800</v>
      </c>
      <c r="O47" s="534">
        <v>2900</v>
      </c>
      <c r="P47" s="536">
        <f t="shared" si="3"/>
        <v>2890.2295591786046</v>
      </c>
      <c r="R47" s="534">
        <v>1800</v>
      </c>
      <c r="S47" s="534">
        <v>2440</v>
      </c>
      <c r="T47" s="536">
        <f t="shared" si="4"/>
        <v>2425.480200546388</v>
      </c>
      <c r="V47" s="534">
        <v>1800</v>
      </c>
      <c r="W47" s="534">
        <v>6750</v>
      </c>
      <c r="X47" s="536">
        <f t="shared" si="5"/>
        <v>6757.8511877257797</v>
      </c>
    </row>
    <row r="48" spans="2:24">
      <c r="B48" s="534">
        <v>1307.1400000000001</v>
      </c>
      <c r="C48" s="534">
        <v>771.42</v>
      </c>
      <c r="D48" s="535">
        <f t="shared" si="0"/>
        <v>775.42357987423088</v>
      </c>
      <c r="F48" s="534">
        <v>928.4</v>
      </c>
      <c r="G48" s="534">
        <v>1006.12</v>
      </c>
      <c r="H48" s="535">
        <f t="shared" si="1"/>
        <v>1014.3612102127446</v>
      </c>
      <c r="J48" s="534">
        <v>953.12</v>
      </c>
      <c r="K48" s="534">
        <v>1156.75</v>
      </c>
      <c r="L48" s="536">
        <f t="shared" si="2"/>
        <v>1157.7090448101671</v>
      </c>
      <c r="N48" s="534">
        <v>1900</v>
      </c>
      <c r="O48" s="534">
        <v>2980</v>
      </c>
      <c r="P48" s="536">
        <f t="shared" si="3"/>
        <v>2969.7978794914943</v>
      </c>
      <c r="R48" s="534">
        <v>1900</v>
      </c>
      <c r="S48" s="534">
        <v>2460</v>
      </c>
      <c r="T48" s="536">
        <f t="shared" si="4"/>
        <v>2461.8527863619424</v>
      </c>
      <c r="V48" s="534">
        <v>1900</v>
      </c>
      <c r="W48" s="534">
        <v>7000</v>
      </c>
      <c r="X48" s="536">
        <f t="shared" si="5"/>
        <v>6944.8717388258265</v>
      </c>
    </row>
    <row r="49" spans="2:24">
      <c r="B49" s="534">
        <v>1393.87</v>
      </c>
      <c r="C49" s="534">
        <v>793.65</v>
      </c>
      <c r="D49" s="535">
        <f t="shared" si="0"/>
        <v>801.16772940095689</v>
      </c>
      <c r="F49" s="534">
        <v>965.9</v>
      </c>
      <c r="G49" s="534">
        <v>1022.44</v>
      </c>
      <c r="H49" s="535">
        <f t="shared" si="1"/>
        <v>1034.6731715434034</v>
      </c>
      <c r="J49" s="534">
        <v>975</v>
      </c>
      <c r="K49" s="534">
        <v>1164.8599999999999</v>
      </c>
      <c r="L49" s="536">
        <f t="shared" si="2"/>
        <v>1164.9152726057555</v>
      </c>
      <c r="N49" s="534">
        <v>2000</v>
      </c>
      <c r="O49" s="534">
        <v>3085</v>
      </c>
      <c r="P49" s="536">
        <f t="shared" si="3"/>
        <v>3047.3078180723892</v>
      </c>
      <c r="R49" s="534">
        <v>2000</v>
      </c>
      <c r="S49" s="534">
        <v>2500</v>
      </c>
      <c r="T49" s="536">
        <f t="shared" si="4"/>
        <v>2496.8633286794106</v>
      </c>
      <c r="V49" s="534">
        <v>2000</v>
      </c>
      <c r="W49" s="534">
        <v>7250</v>
      </c>
      <c r="X49" s="536">
        <f t="shared" si="5"/>
        <v>7127.0791366566364</v>
      </c>
    </row>
    <row r="50" spans="2:24">
      <c r="B50" s="534">
        <v>1470.4</v>
      </c>
      <c r="C50" s="534">
        <v>819.04</v>
      </c>
      <c r="D50" s="535">
        <f t="shared" si="0"/>
        <v>823.23732052823334</v>
      </c>
      <c r="F50" s="534">
        <v>993.18</v>
      </c>
      <c r="G50" s="534">
        <v>1036.73</v>
      </c>
      <c r="H50" s="535">
        <f t="shared" si="1"/>
        <v>1049.2030755610995</v>
      </c>
      <c r="J50" s="534">
        <v>990.62</v>
      </c>
      <c r="K50" s="534">
        <v>1172.97</v>
      </c>
      <c r="L50" s="536">
        <f t="shared" si="2"/>
        <v>1169.988185021449</v>
      </c>
    </row>
    <row r="51" spans="2:24">
      <c r="B51" s="534">
        <v>1546.93</v>
      </c>
      <c r="C51" s="534">
        <v>838.09</v>
      </c>
      <c r="D51" s="535">
        <f t="shared" si="0"/>
        <v>844.74908453500893</v>
      </c>
      <c r="F51" s="534">
        <v>1003.4</v>
      </c>
      <c r="G51" s="534">
        <v>1044.8900000000001</v>
      </c>
      <c r="H51" s="535">
        <f t="shared" si="1"/>
        <v>1054.5950606059714</v>
      </c>
      <c r="J51" s="534">
        <v>1435.29</v>
      </c>
      <c r="K51" s="534">
        <v>1297.01</v>
      </c>
      <c r="L51" s="536">
        <f t="shared" si="2"/>
        <v>1294.815173059045</v>
      </c>
    </row>
    <row r="52" spans="2:24">
      <c r="B52" s="534">
        <v>1633.67</v>
      </c>
      <c r="C52" s="534">
        <v>858.73</v>
      </c>
      <c r="D52" s="535">
        <f t="shared" si="0"/>
        <v>868.50753898351229</v>
      </c>
      <c r="F52" s="534">
        <v>1239.02</v>
      </c>
      <c r="G52" s="534">
        <v>1161.97</v>
      </c>
      <c r="H52" s="535">
        <f t="shared" si="1"/>
        <v>1172.0657247783004</v>
      </c>
      <c r="J52" s="534">
        <v>1494.11</v>
      </c>
      <c r="K52" s="534">
        <v>1305.97</v>
      </c>
      <c r="L52" s="536">
        <f t="shared" si="2"/>
        <v>1309.1116040621002</v>
      </c>
    </row>
    <row r="53" spans="2:24">
      <c r="B53" s="534">
        <v>1684.69</v>
      </c>
      <c r="C53" s="534">
        <v>876.19</v>
      </c>
      <c r="D53" s="535">
        <f t="shared" si="0"/>
        <v>882.1930097945118</v>
      </c>
      <c r="F53" s="534">
        <v>1292.68</v>
      </c>
      <c r="G53" s="534">
        <v>1181.69</v>
      </c>
      <c r="H53" s="535">
        <f t="shared" si="1"/>
        <v>1197.2124133509215</v>
      </c>
      <c r="J53" s="534">
        <v>1552.94</v>
      </c>
      <c r="K53" s="534">
        <v>1320.89</v>
      </c>
      <c r="L53" s="536">
        <f t="shared" si="2"/>
        <v>1323.0070721885943</v>
      </c>
    </row>
    <row r="54" spans="2:24">
      <c r="B54" s="534">
        <v>2000</v>
      </c>
      <c r="C54" s="534"/>
      <c r="D54" s="535">
        <f t="shared" si="0"/>
        <v>962.59698057772493</v>
      </c>
      <c r="F54" s="534">
        <v>1321.95</v>
      </c>
      <c r="G54" s="534">
        <v>1207.04</v>
      </c>
      <c r="H54" s="535">
        <f t="shared" si="1"/>
        <v>1210.7096885056578</v>
      </c>
      <c r="J54" s="534">
        <v>1617.64</v>
      </c>
      <c r="K54" s="534">
        <v>1338.8</v>
      </c>
      <c r="L54" s="536">
        <f t="shared" si="2"/>
        <v>1337.8541878681028</v>
      </c>
    </row>
    <row r="55" spans="2:24">
      <c r="D55" s="537"/>
      <c r="F55" s="534">
        <v>1390.24</v>
      </c>
      <c r="G55" s="534">
        <v>1238.02</v>
      </c>
      <c r="H55" s="535">
        <f t="shared" si="1"/>
        <v>1241.6314526389729</v>
      </c>
      <c r="J55" s="534">
        <v>1682.35</v>
      </c>
      <c r="K55" s="534">
        <v>1353.73</v>
      </c>
      <c r="L55" s="536">
        <f t="shared" si="2"/>
        <v>1352.2780788777641</v>
      </c>
    </row>
    <row r="56" spans="2:24">
      <c r="D56" s="537"/>
      <c r="F56" s="534">
        <v>1439.02</v>
      </c>
      <c r="G56" s="534">
        <v>1260.56</v>
      </c>
      <c r="H56" s="535">
        <f t="shared" si="1"/>
        <v>1263.2570029133071</v>
      </c>
      <c r="J56" s="534">
        <v>1776.47</v>
      </c>
      <c r="K56" s="534">
        <v>1374.62</v>
      </c>
      <c r="L56" s="536">
        <f t="shared" si="2"/>
        <v>1372.5545094095442</v>
      </c>
    </row>
    <row r="57" spans="2:24">
      <c r="D57" s="537"/>
      <c r="F57" s="534">
        <v>1497.56</v>
      </c>
      <c r="G57" s="534">
        <v>1285.9100000000001</v>
      </c>
      <c r="H57" s="535">
        <f t="shared" si="1"/>
        <v>1288.7317772869351</v>
      </c>
      <c r="J57" s="534">
        <v>1829.41</v>
      </c>
      <c r="K57" s="534">
        <v>1389.55</v>
      </c>
      <c r="L57" s="536">
        <f t="shared" si="2"/>
        <v>1383.6183651816928</v>
      </c>
    </row>
    <row r="58" spans="2:24">
      <c r="D58" s="537"/>
      <c r="F58" s="534">
        <v>1565.85</v>
      </c>
      <c r="G58" s="534">
        <v>1328.16</v>
      </c>
      <c r="H58" s="535">
        <f t="shared" si="1"/>
        <v>1317.8289871458283</v>
      </c>
      <c r="J58" s="534">
        <v>1894.11</v>
      </c>
      <c r="K58" s="534">
        <v>1407.46</v>
      </c>
      <c r="L58" s="536">
        <f t="shared" si="2"/>
        <v>1396.828405148234</v>
      </c>
    </row>
    <row r="59" spans="2:24">
      <c r="D59" s="537"/>
      <c r="F59" s="534">
        <v>1651.61</v>
      </c>
      <c r="G59" s="534">
        <v>1349.27</v>
      </c>
      <c r="H59" s="535">
        <f t="shared" si="1"/>
        <v>1353.4865356384282</v>
      </c>
      <c r="J59" s="534">
        <v>1947.05</v>
      </c>
      <c r="K59" s="534">
        <v>1416.41</v>
      </c>
      <c r="L59" s="536">
        <f t="shared" si="2"/>
        <v>1407.3955629130446</v>
      </c>
    </row>
    <row r="60" spans="2:24">
      <c r="D60" s="537"/>
      <c r="F60" s="534">
        <v>1722.58</v>
      </c>
      <c r="G60" s="534">
        <v>1378.26</v>
      </c>
      <c r="H60" s="535">
        <f t="shared" si="1"/>
        <v>1382.3011793007292</v>
      </c>
      <c r="J60" s="534">
        <v>1976.47</v>
      </c>
      <c r="K60" s="534">
        <v>1425.37</v>
      </c>
      <c r="L60" s="536">
        <f t="shared" si="2"/>
        <v>1413.1779913779183</v>
      </c>
    </row>
    <row r="61" spans="2:24">
      <c r="D61" s="537"/>
      <c r="F61" s="534">
        <v>1819.35</v>
      </c>
      <c r="G61" s="534">
        <v>1421.73</v>
      </c>
      <c r="H61" s="535">
        <f t="shared" si="1"/>
        <v>1420.6520475966709</v>
      </c>
      <c r="L61" s="537"/>
      <c r="M61" s="537"/>
    </row>
    <row r="62" spans="2:24">
      <c r="D62" s="537"/>
      <c r="F62" s="534">
        <v>1883.87</v>
      </c>
      <c r="G62" s="534">
        <v>1444.92</v>
      </c>
      <c r="H62" s="535">
        <f t="shared" si="1"/>
        <v>1445.6582981608462</v>
      </c>
      <c r="L62" s="537"/>
      <c r="M62" s="537"/>
    </row>
    <row r="63" spans="2:24">
      <c r="D63" s="537"/>
      <c r="F63" s="534">
        <v>1929.03</v>
      </c>
      <c r="G63" s="534">
        <v>1468.11</v>
      </c>
      <c r="H63" s="535">
        <f t="shared" si="1"/>
        <v>1462.9075485682047</v>
      </c>
      <c r="L63" s="537"/>
      <c r="M63" s="537"/>
    </row>
    <row r="64" spans="2:24">
      <c r="D64" s="537"/>
      <c r="F64" s="534">
        <v>1974.19</v>
      </c>
      <c r="G64" s="534">
        <v>1488.4</v>
      </c>
      <c r="H64" s="535">
        <f t="shared" si="1"/>
        <v>1479.9563239478728</v>
      </c>
      <c r="L64" s="537"/>
      <c r="M64" s="537"/>
    </row>
    <row r="65" spans="3:13">
      <c r="D65" s="537"/>
      <c r="H65" s="537"/>
      <c r="L65" s="537"/>
      <c r="M65" s="537"/>
    </row>
    <row r="66" spans="3:13">
      <c r="D66" s="537"/>
      <c r="H66" s="537"/>
      <c r="L66" s="537"/>
      <c r="M66" s="537"/>
    </row>
    <row r="67" spans="3:13">
      <c r="D67" s="537"/>
      <c r="H67" s="537"/>
      <c r="L67" s="537"/>
      <c r="M67" s="537"/>
    </row>
    <row r="68" spans="3:13">
      <c r="D68" s="537"/>
    </row>
    <row r="69" spans="3:13">
      <c r="D69" s="537"/>
    </row>
    <row r="70" spans="3:13">
      <c r="C70" s="522" t="s">
        <v>866</v>
      </c>
      <c r="D70" s="522"/>
      <c r="E70" s="523" t="s">
        <v>856</v>
      </c>
    </row>
    <row r="71" spans="3:13">
      <c r="C71" s="524" t="s">
        <v>850</v>
      </c>
      <c r="D71" s="524"/>
      <c r="E71" s="525" t="s">
        <v>857</v>
      </c>
    </row>
    <row r="72" spans="3:13">
      <c r="C72" s="526" t="s">
        <v>851</v>
      </c>
      <c r="D72" s="526"/>
      <c r="E72" s="527" t="s">
        <v>858</v>
      </c>
    </row>
    <row r="73" spans="3:13">
      <c r="C73" s="528" t="s">
        <v>852</v>
      </c>
      <c r="D73" s="528"/>
      <c r="E73" s="529" t="s">
        <v>859</v>
      </c>
    </row>
    <row r="74" spans="3:13">
      <c r="C74" s="530" t="s">
        <v>853</v>
      </c>
      <c r="D74" s="530"/>
      <c r="E74" s="530" t="s">
        <v>860</v>
      </c>
    </row>
    <row r="75" spans="3:13">
      <c r="C75" s="531" t="s">
        <v>854</v>
      </c>
      <c r="D75" s="531"/>
      <c r="E75" s="543" t="s">
        <v>861</v>
      </c>
    </row>
  </sheetData>
  <mergeCells count="6">
    <mergeCell ref="V2:X2"/>
    <mergeCell ref="B2:D2"/>
    <mergeCell ref="F2:H2"/>
    <mergeCell ref="J2:L2"/>
    <mergeCell ref="N2:P2"/>
    <mergeCell ref="R2:T2"/>
  </mergeCells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tabColor theme="0" tint="-0.499984740745262"/>
  </sheetPr>
  <dimension ref="A1:M37"/>
  <sheetViews>
    <sheetView zoomScaleNormal="100" zoomScaleSheetLayoutView="100" workbookViewId="0">
      <selection activeCell="A4" sqref="A4:A5"/>
    </sheetView>
  </sheetViews>
  <sheetFormatPr baseColWidth="10" defaultColWidth="9" defaultRowHeight="16"/>
  <cols>
    <col min="1" max="1" width="18.1640625" style="42" customWidth="1"/>
    <col min="2" max="4" width="7.6640625" style="42" customWidth="1"/>
    <col min="5" max="5" width="43" style="42" customWidth="1"/>
    <col min="6" max="6" width="9" style="42"/>
    <col min="7" max="9" width="9" style="41"/>
    <col min="10" max="16384" width="9" style="42"/>
  </cols>
  <sheetData>
    <row r="1" spans="1:13" ht="17" thickBot="1">
      <c r="A1" s="221" t="s">
        <v>334</v>
      </c>
    </row>
    <row r="2" spans="1:13" s="41" customFormat="1" ht="15" customHeight="1">
      <c r="A2" s="224" t="s">
        <v>0</v>
      </c>
      <c r="B2" s="225"/>
      <c r="C2" s="226" t="s">
        <v>1</v>
      </c>
      <c r="D2" s="226" t="s">
        <v>2</v>
      </c>
      <c r="E2" s="227" t="s">
        <v>3</v>
      </c>
    </row>
    <row r="3" spans="1:13" ht="15" customHeight="1">
      <c r="A3" s="232" t="s">
        <v>4</v>
      </c>
      <c r="B3" s="43" t="s">
        <v>5</v>
      </c>
      <c r="C3" s="230">
        <v>50000</v>
      </c>
      <c r="D3" s="229" t="s">
        <v>6</v>
      </c>
      <c r="E3" s="233" t="s">
        <v>211</v>
      </c>
    </row>
    <row r="4" spans="1:13" ht="15" customHeight="1">
      <c r="A4" s="232" t="s">
        <v>151</v>
      </c>
      <c r="B4" s="43" t="s">
        <v>7</v>
      </c>
      <c r="C4" s="231">
        <v>-7</v>
      </c>
      <c r="D4" s="229" t="s">
        <v>8</v>
      </c>
      <c r="E4" s="234" t="s">
        <v>212</v>
      </c>
    </row>
    <row r="5" spans="1:13" ht="15" customHeight="1" thickBot="1">
      <c r="A5" s="235" t="s">
        <v>9</v>
      </c>
      <c r="B5" s="236" t="s">
        <v>10</v>
      </c>
      <c r="C5" s="237">
        <v>4</v>
      </c>
      <c r="D5" s="238" t="s">
        <v>8</v>
      </c>
      <c r="E5" s="239" t="s">
        <v>210</v>
      </c>
    </row>
    <row r="6" spans="1:13">
      <c r="A6" s="43"/>
      <c r="B6" s="43"/>
      <c r="C6" s="43"/>
      <c r="D6" s="43"/>
      <c r="E6" s="43"/>
    </row>
    <row r="7" spans="1:13" ht="17" thickBot="1">
      <c r="A7" s="221" t="s">
        <v>335</v>
      </c>
      <c r="B7" s="43"/>
      <c r="C7" s="43"/>
      <c r="D7" s="43"/>
      <c r="E7" s="43"/>
    </row>
    <row r="8" spans="1:13">
      <c r="A8" s="224" t="s">
        <v>0</v>
      </c>
      <c r="B8" s="225"/>
      <c r="C8" s="226" t="s">
        <v>1</v>
      </c>
      <c r="D8" s="226" t="s">
        <v>2</v>
      </c>
      <c r="E8" s="227" t="s">
        <v>3</v>
      </c>
    </row>
    <row r="9" spans="1:13">
      <c r="A9" s="228" t="s">
        <v>911</v>
      </c>
      <c r="B9" s="216"/>
      <c r="C9" s="216"/>
      <c r="D9" s="216"/>
      <c r="E9" s="217"/>
    </row>
    <row r="10" spans="1:13">
      <c r="A10" s="228" t="s">
        <v>347</v>
      </c>
      <c r="B10" s="216"/>
      <c r="C10" s="216"/>
      <c r="D10" s="216"/>
      <c r="E10" s="217"/>
    </row>
    <row r="11" spans="1:13">
      <c r="A11" s="242" t="s">
        <v>338</v>
      </c>
      <c r="B11" s="115" t="s">
        <v>238</v>
      </c>
      <c r="C11" s="102">
        <f>VLOOKUP(基础数据1!B39,基础数据1!$B$1:$W$75,'输入&amp;输出'!$C$3/10000+2,FALSE)</f>
        <v>17.100000000000001</v>
      </c>
      <c r="D11" s="115" t="s">
        <v>96</v>
      </c>
      <c r="E11" s="217"/>
    </row>
    <row r="12" spans="1:13">
      <c r="A12" s="242" t="s">
        <v>342</v>
      </c>
      <c r="B12" s="115" t="s">
        <v>239</v>
      </c>
      <c r="C12" s="102">
        <f>VLOOKUP(基础数据1!B38,基础数据1!$B$1:$W$75,'输入&amp;输出'!$C$3/10000+2,FALSE)</f>
        <v>9.5</v>
      </c>
      <c r="D12" s="115" t="s">
        <v>96</v>
      </c>
      <c r="E12" s="217"/>
      <c r="K12" s="42">
        <f>0.9^2*2</f>
        <v>1.62</v>
      </c>
      <c r="L12" s="42">
        <f>40000/24*1.62/3600</f>
        <v>0.75000000000000011</v>
      </c>
      <c r="M12" s="42">
        <f>L12/K12</f>
        <v>0.46296296296296302</v>
      </c>
    </row>
    <row r="13" spans="1:13">
      <c r="A13" s="242" t="s">
        <v>343</v>
      </c>
      <c r="B13" s="115" t="s">
        <v>236</v>
      </c>
      <c r="C13" s="102">
        <f>VLOOKUP(基础数据1!B33,基础数据1!$B$1:$W$75,'输入&amp;输出'!$C$3/10000+2,FALSE)</f>
        <v>10.5</v>
      </c>
      <c r="D13" s="115" t="s">
        <v>96</v>
      </c>
      <c r="E13" s="217"/>
    </row>
    <row r="14" spans="1:13">
      <c r="A14" s="242" t="s">
        <v>339</v>
      </c>
      <c r="B14" s="115" t="s">
        <v>238</v>
      </c>
      <c r="C14" s="102">
        <f>C11</f>
        <v>17.100000000000001</v>
      </c>
      <c r="D14" s="115" t="s">
        <v>96</v>
      </c>
      <c r="E14" s="220" t="s">
        <v>336</v>
      </c>
    </row>
    <row r="15" spans="1:13">
      <c r="A15" s="242" t="s">
        <v>340</v>
      </c>
      <c r="B15" s="115" t="s">
        <v>241</v>
      </c>
      <c r="C15" s="102">
        <f>C12/2</f>
        <v>4.75</v>
      </c>
      <c r="D15" s="115" t="s">
        <v>96</v>
      </c>
      <c r="E15" s="217"/>
      <c r="K15" s="41"/>
    </row>
    <row r="16" spans="1:13">
      <c r="A16" s="242" t="s">
        <v>341</v>
      </c>
      <c r="B16" s="115" t="s">
        <v>247</v>
      </c>
      <c r="C16" s="102">
        <v>5</v>
      </c>
      <c r="D16" s="115" t="s">
        <v>96</v>
      </c>
      <c r="E16" s="220" t="s">
        <v>337</v>
      </c>
    </row>
    <row r="17" spans="1:5">
      <c r="A17" s="228" t="s">
        <v>350</v>
      </c>
      <c r="B17" s="115"/>
      <c r="C17" s="102"/>
      <c r="D17" s="115"/>
      <c r="E17" s="220"/>
    </row>
    <row r="18" spans="1:5">
      <c r="A18" s="242" t="s">
        <v>348</v>
      </c>
      <c r="B18" s="115"/>
      <c r="C18" s="222" t="str">
        <f ca="1">'设备、材料清单'!P4</f>
        <v>离心式潜污泵，Q=1097m³/h，H=12m，N=45kW</v>
      </c>
      <c r="D18" s="115"/>
      <c r="E18" s="220"/>
    </row>
    <row r="19" spans="1:5">
      <c r="A19" s="242" t="s">
        <v>349</v>
      </c>
      <c r="B19" s="115" t="s">
        <v>154</v>
      </c>
      <c r="C19" s="102">
        <f>'设备、材料清单'!E4</f>
        <v>4</v>
      </c>
      <c r="D19" s="115" t="s">
        <v>224</v>
      </c>
      <c r="E19" s="220" t="str">
        <f>'设备、材料清单'!F4</f>
        <v>3用1备，2台变频</v>
      </c>
    </row>
    <row r="20" spans="1:5">
      <c r="A20" s="228" t="s">
        <v>344</v>
      </c>
      <c r="B20" s="223" t="s">
        <v>351</v>
      </c>
      <c r="C20" s="216"/>
      <c r="D20" s="216"/>
      <c r="E20" s="217"/>
    </row>
    <row r="21" spans="1:5">
      <c r="A21" s="228" t="s">
        <v>345</v>
      </c>
      <c r="B21" s="216"/>
      <c r="C21" s="216"/>
      <c r="D21" s="216"/>
      <c r="E21" s="217"/>
    </row>
    <row r="22" spans="1:5" ht="17" thickBot="1">
      <c r="A22" s="240" t="s">
        <v>346</v>
      </c>
      <c r="B22" s="218"/>
      <c r="C22" s="218"/>
      <c r="D22" s="241" t="s">
        <v>352</v>
      </c>
      <c r="E22" s="219"/>
    </row>
    <row r="23" spans="1:5">
      <c r="A23" s="43"/>
      <c r="B23" s="43"/>
      <c r="C23" s="43"/>
      <c r="D23" s="43"/>
      <c r="E23" s="43"/>
    </row>
    <row r="24" spans="1:5">
      <c r="A24" s="43"/>
      <c r="B24" s="43"/>
      <c r="C24" s="43"/>
      <c r="D24" s="43"/>
      <c r="E24" s="43"/>
    </row>
    <row r="25" spans="1:5">
      <c r="A25" s="43"/>
      <c r="B25" s="43"/>
      <c r="C25" s="43"/>
      <c r="D25" s="43"/>
      <c r="E25" s="43"/>
    </row>
    <row r="26" spans="1:5">
      <c r="A26" s="43"/>
      <c r="B26" s="43"/>
      <c r="C26" s="43"/>
      <c r="D26" s="43"/>
      <c r="E26" s="43"/>
    </row>
    <row r="27" spans="1:5">
      <c r="A27" s="43"/>
      <c r="B27" s="43"/>
      <c r="C27" s="43"/>
      <c r="D27" s="43"/>
      <c r="E27" s="43"/>
    </row>
    <row r="28" spans="1:5">
      <c r="A28" s="43"/>
      <c r="B28" s="43"/>
      <c r="C28" s="43"/>
      <c r="D28" s="43"/>
      <c r="E28" s="43"/>
    </row>
    <row r="29" spans="1:5">
      <c r="A29" s="43"/>
      <c r="B29" s="43"/>
      <c r="C29" s="43"/>
      <c r="D29" s="43"/>
      <c r="E29" s="43"/>
    </row>
    <row r="30" spans="1:5">
      <c r="A30" s="43"/>
      <c r="B30" s="43"/>
      <c r="C30" s="43"/>
      <c r="D30" s="43"/>
      <c r="E30" s="43"/>
    </row>
    <row r="31" spans="1:5">
      <c r="A31" s="43"/>
      <c r="B31" s="43"/>
      <c r="C31" s="43"/>
      <c r="D31" s="43"/>
      <c r="E31" s="43"/>
    </row>
    <row r="32" spans="1:5">
      <c r="A32" s="43"/>
      <c r="B32" s="43"/>
      <c r="C32" s="43"/>
      <c r="D32" s="43"/>
      <c r="E32" s="43"/>
    </row>
    <row r="33" spans="1:5">
      <c r="A33" s="43"/>
      <c r="B33" s="43"/>
      <c r="C33" s="43"/>
      <c r="D33" s="43"/>
      <c r="E33" s="43"/>
    </row>
    <row r="34" spans="1:5">
      <c r="A34" s="43"/>
      <c r="B34" s="43"/>
      <c r="C34" s="43"/>
      <c r="D34" s="43"/>
      <c r="E34" s="43"/>
    </row>
    <row r="35" spans="1:5">
      <c r="A35" s="43"/>
      <c r="B35" s="43"/>
      <c r="C35" s="43"/>
      <c r="D35" s="43"/>
      <c r="E35" s="43"/>
    </row>
    <row r="36" spans="1:5">
      <c r="A36" s="43"/>
      <c r="B36" s="43"/>
      <c r="C36" s="43"/>
      <c r="D36" s="43"/>
      <c r="E36" s="43"/>
    </row>
    <row r="37" spans="1:5">
      <c r="A37" s="43"/>
      <c r="B37" s="43"/>
      <c r="C37" s="43"/>
      <c r="D37" s="43"/>
      <c r="E37" s="43"/>
    </row>
  </sheetData>
  <phoneticPr fontId="12" type="noConversion"/>
  <hyperlinks>
    <hyperlink ref="B20" r:id="rId1" xr:uid="{00000000-0004-0000-0800-000000000000}"/>
  </hyperlinks>
  <pageMargins left="0.75" right="0.75" top="1" bottom="1" header="0.51180555555555551" footer="0.51180555555555551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1:R20"/>
  <sheetViews>
    <sheetView view="pageBreakPreview" zoomScale="70" zoomScaleNormal="55" zoomScaleSheetLayoutView="70" workbookViewId="0">
      <selection activeCell="I21" sqref="I21"/>
    </sheetView>
  </sheetViews>
  <sheetFormatPr baseColWidth="10" defaultColWidth="8.83203125" defaultRowHeight="15"/>
  <cols>
    <col min="2" max="2" width="25.1640625" customWidth="1"/>
    <col min="3" max="3" width="43.1640625" customWidth="1"/>
    <col min="6" max="6" width="32" customWidth="1"/>
    <col min="7" max="7" width="12" customWidth="1"/>
    <col min="8" max="8" width="8.6640625" style="90" hidden="1" customWidth="1"/>
    <col min="9" max="9" width="8.33203125" style="84" hidden="1" customWidth="1"/>
    <col min="10" max="10" width="11.33203125" style="84" hidden="1" customWidth="1"/>
    <col min="11" max="11" width="5.1640625" style="84" hidden="1" customWidth="1"/>
    <col min="12" max="12" width="8.6640625" hidden="1" customWidth="1"/>
    <col min="13" max="14" width="8.6640625" style="1" hidden="1" customWidth="1"/>
    <col min="15" max="15" width="11.6640625" style="1" hidden="1" customWidth="1"/>
    <col min="16" max="18" width="8.6640625" style="1" hidden="1" customWidth="1"/>
    <col min="19" max="19" width="0" hidden="1" customWidth="1"/>
  </cols>
  <sheetData>
    <row r="1" spans="1:18" ht="25.25" customHeight="1">
      <c r="A1" s="135" t="s">
        <v>149</v>
      </c>
      <c r="B1" s="135" t="s">
        <v>207</v>
      </c>
      <c r="C1" s="134"/>
      <c r="D1" s="134"/>
      <c r="E1" s="134"/>
      <c r="F1" s="134"/>
      <c r="G1" s="134"/>
    </row>
    <row r="2" spans="1:18" ht="19">
      <c r="A2" s="104" t="s">
        <v>46</v>
      </c>
      <c r="B2" s="104" t="s">
        <v>132</v>
      </c>
      <c r="C2" s="104" t="s">
        <v>133</v>
      </c>
      <c r="D2" s="104" t="s">
        <v>2</v>
      </c>
      <c r="E2" s="104" t="s">
        <v>102</v>
      </c>
      <c r="F2" s="104" t="s">
        <v>3</v>
      </c>
      <c r="G2" s="104" t="s">
        <v>110</v>
      </c>
      <c r="H2" s="105"/>
      <c r="I2" s="99"/>
      <c r="J2" s="99"/>
      <c r="K2" s="99"/>
    </row>
    <row r="3" spans="1:18" ht="18">
      <c r="A3" s="69">
        <v>1</v>
      </c>
      <c r="B3" s="70" t="s">
        <v>123</v>
      </c>
      <c r="C3" s="70"/>
      <c r="D3" s="71"/>
      <c r="E3" s="71"/>
      <c r="F3" s="72"/>
      <c r="G3" s="72"/>
      <c r="H3" s="106"/>
      <c r="I3" s="101" t="s">
        <v>146</v>
      </c>
      <c r="J3" s="101" t="s">
        <v>147</v>
      </c>
      <c r="K3" s="101" t="s">
        <v>148</v>
      </c>
    </row>
    <row r="4" spans="1:18" ht="54.5" customHeight="1">
      <c r="A4" s="68" t="s">
        <v>138</v>
      </c>
      <c r="B4" s="74" t="s">
        <v>135</v>
      </c>
      <c r="C4" s="136" t="str">
        <f ca="1">_xlfn.CONCAT("离心式潜污泵，Q=",INT(I4),"m³/h，H=",J4,"m，N=",K4,"kW，铸铁叶轮，自耦式安装，附导链10m")</f>
        <v>离心式潜污泵，Q=1097m³/h，H=12m，N=45kW，铸铁叶轮，自耦式安装，附导链10m</v>
      </c>
      <c r="D4" s="75" t="s">
        <v>134</v>
      </c>
      <c r="E4" s="75">
        <f>VLOOKUP(基础数据1!B9,基础数据1!B1:W9,'输入&amp;输出'!C3/10000+2,FALSE)</f>
        <v>4</v>
      </c>
      <c r="F4" s="76" t="str">
        <f>L4&amp;M4&amp;N4&amp;O4</f>
        <v>3用1备，2台变频</v>
      </c>
      <c r="G4" s="73" t="s">
        <v>125</v>
      </c>
      <c r="H4" s="101"/>
      <c r="I4" s="102">
        <f>VLOOKUP(基础数据1!B10,基础数据1!B1:W69,'输入&amp;输出'!C3/10000+2,FALSE)</f>
        <v>1097.2222222222224</v>
      </c>
      <c r="J4" s="102">
        <f>计算层!D2</f>
        <v>12</v>
      </c>
      <c r="K4" s="102">
        <f ca="1">基础数据1!Y16</f>
        <v>45</v>
      </c>
      <c r="L4">
        <f>VLOOKUP(基础数据1!B7,基础数据1!B1:W9,'输入&amp;输出'!C3/10000+2,FALSE)</f>
        <v>3</v>
      </c>
      <c r="M4" s="67" t="s">
        <v>155</v>
      </c>
      <c r="N4" s="1">
        <f>VLOOKUP(基础数据1!B8,基础数据1!B1:W9,'输入&amp;输出'!C3/10000+2,FALSE)</f>
        <v>1</v>
      </c>
      <c r="O4" s="67" t="s">
        <v>156</v>
      </c>
      <c r="P4" s="215" t="str">
        <f ca="1">_xlfn.CONCAT("离心式潜污泵，Q=",INT(I4),"m³/h，H=",J4,"m，N=",K4,"kW")</f>
        <v>离心式潜污泵，Q=1097m³/h，H=12m，N=45kW</v>
      </c>
    </row>
    <row r="5" spans="1:18" ht="54.5" customHeight="1">
      <c r="A5" s="68" t="s">
        <v>139</v>
      </c>
      <c r="B5" s="137" t="s">
        <v>170</v>
      </c>
      <c r="C5" s="74" t="str">
        <f>_xlfn.CONCAT("尺寸",I5,"x",I5,"m，提升高度",I5,"m，洞中心距池顶",K5,"m，承压水头5m，反向受压，附壁式安装，N=0.55kW")</f>
        <v>尺寸1x1m，提升高度1m，洞中心距池顶10m，承压水头5m，反向受压，附壁式安装，N=0.55kW</v>
      </c>
      <c r="D5" s="75" t="s">
        <v>134</v>
      </c>
      <c r="E5" s="75">
        <v>2</v>
      </c>
      <c r="F5" s="76" t="s">
        <v>169</v>
      </c>
      <c r="G5" s="73" t="s">
        <v>125</v>
      </c>
      <c r="H5" s="101"/>
      <c r="I5" s="102">
        <f>VLOOKUP(基础数据1!B21,基础数据1!B1:W39,'输入&amp;输出'!C3/10000+2,FALSE)</f>
        <v>1</v>
      </c>
      <c r="J5" s="115" t="s">
        <v>174</v>
      </c>
      <c r="K5" s="102">
        <f>VLOOKUP(基础数据1!B33,基础数据1!B1:W39,'输入&amp;输出'!C3/10000+2,FALSE)-I5*0.5</f>
        <v>10</v>
      </c>
      <c r="L5" s="45"/>
      <c r="M5" s="67"/>
      <c r="O5" s="67"/>
      <c r="P5" s="67"/>
    </row>
    <row r="6" spans="1:18" ht="54.5" customHeight="1">
      <c r="A6" s="68" t="s">
        <v>168</v>
      </c>
      <c r="B6" s="137" t="s">
        <v>170</v>
      </c>
      <c r="C6" s="74" t="str">
        <f>_xlfn.CONCAT("尺寸",I5,"x",I5,"m，提升高度",I5,"m，洞中心距池顶",K5,"m，承压水头5m，双向受压，附壁式安装，N=0.55kW")</f>
        <v>尺寸1x1m，提升高度1m，洞中心距池顶10m，承压水头5m，双向受压，附壁式安装，N=0.55kW</v>
      </c>
      <c r="D6" s="75" t="s">
        <v>134</v>
      </c>
      <c r="E6" s="75">
        <v>1</v>
      </c>
      <c r="F6" s="76" t="s">
        <v>175</v>
      </c>
      <c r="G6" s="73" t="s">
        <v>125</v>
      </c>
      <c r="H6" s="101"/>
      <c r="I6" s="102"/>
      <c r="J6" s="102"/>
      <c r="K6" s="102"/>
      <c r="M6" s="67"/>
      <c r="O6" s="67"/>
      <c r="P6" s="67"/>
    </row>
    <row r="7" spans="1:18" ht="54.5" customHeight="1">
      <c r="A7" s="68" t="s">
        <v>173</v>
      </c>
      <c r="B7" s="74" t="s">
        <v>136</v>
      </c>
      <c r="C7" s="136" t="str">
        <f>_xlfn.CONCAT("CD1，起重量",M7,"t，提升高度",J7,"m，N=",P7,"kW")</f>
        <v>CD1，起重量2t，提升高度10.5m，N=3+0.4kW</v>
      </c>
      <c r="D7" s="75" t="s">
        <v>134</v>
      </c>
      <c r="E7" s="75">
        <v>1</v>
      </c>
      <c r="F7" s="77" t="s">
        <v>137</v>
      </c>
      <c r="G7" s="73" t="s">
        <v>125</v>
      </c>
      <c r="H7" s="101"/>
      <c r="I7" s="67" t="s">
        <v>140</v>
      </c>
      <c r="J7" s="1">
        <f>VLOOKUP(基础数据1!B35,基础数据1!B1:W39,'输入&amp;输出'!C3/10000+2,FALSE)</f>
        <v>10.5</v>
      </c>
      <c r="K7" s="67" t="s">
        <v>143</v>
      </c>
      <c r="L7" s="67" t="s">
        <v>141</v>
      </c>
      <c r="M7" s="1">
        <f>VLOOKUP(基础数据1!B22,基础数据1!B1:W39,'输入&amp;输出'!C3/10000+2,FALSE)</f>
        <v>2</v>
      </c>
      <c r="N7" s="67" t="s">
        <v>142</v>
      </c>
      <c r="O7" s="67" t="s">
        <v>179</v>
      </c>
      <c r="P7" s="1" t="str">
        <f>VLOOKUP(基础数据1!B23,基础数据1!B1:W23,'输入&amp;输出'!C3/10000+2,FALSE)</f>
        <v>3+0.4</v>
      </c>
      <c r="Q7" s="67" t="s">
        <v>180</v>
      </c>
    </row>
    <row r="8" spans="1:18" ht="22.25" customHeight="1">
      <c r="A8" s="135" t="s">
        <v>208</v>
      </c>
      <c r="B8" s="135" t="s">
        <v>209</v>
      </c>
      <c r="C8" s="107"/>
      <c r="D8" s="108"/>
      <c r="E8" s="108"/>
      <c r="F8" s="109"/>
      <c r="G8" s="100"/>
      <c r="H8" s="101"/>
      <c r="I8" s="103"/>
      <c r="J8" s="103"/>
      <c r="K8" s="103"/>
      <c r="L8" s="67"/>
      <c r="N8" s="67"/>
      <c r="O8" s="67"/>
      <c r="R8" s="67"/>
    </row>
    <row r="9" spans="1:18" ht="18">
      <c r="A9" s="69">
        <v>1</v>
      </c>
      <c r="B9" s="70" t="s">
        <v>123</v>
      </c>
      <c r="C9" s="70"/>
      <c r="D9" s="71"/>
      <c r="E9" s="71"/>
      <c r="F9" s="72"/>
      <c r="G9" s="72"/>
    </row>
    <row r="10" spans="1:18" ht="20" customHeight="1">
      <c r="A10" s="104" t="s">
        <v>46</v>
      </c>
      <c r="B10" s="104" t="s">
        <v>161</v>
      </c>
      <c r="C10" s="104" t="s">
        <v>162</v>
      </c>
      <c r="D10" s="104" t="s">
        <v>2</v>
      </c>
      <c r="E10" s="104" t="s">
        <v>102</v>
      </c>
      <c r="F10" s="104" t="s">
        <v>3</v>
      </c>
      <c r="G10" s="104" t="s">
        <v>110</v>
      </c>
      <c r="H10" s="289" t="s">
        <v>468</v>
      </c>
      <c r="I10" s="290">
        <f>1000*VLOOKUP(基础数据1!B78,基础数据1!B1:W79,'输入&amp;输出'!C3/10000+2,FALSE)</f>
        <v>600</v>
      </c>
    </row>
    <row r="11" spans="1:18" s="1" customFormat="1" ht="20" customHeight="1">
      <c r="A11" s="68">
        <v>1.1000000000000001</v>
      </c>
      <c r="B11" s="68" t="s">
        <v>159</v>
      </c>
      <c r="C11" s="291" t="str">
        <f>H11&amp;I11</f>
        <v>Q235A，1.0MPa，D630×9</v>
      </c>
      <c r="D11" s="68" t="s">
        <v>143</v>
      </c>
      <c r="E11" s="252">
        <f>E4*J11</f>
        <v>64</v>
      </c>
      <c r="F11" s="77" t="s">
        <v>163</v>
      </c>
      <c r="G11" s="68" t="s">
        <v>158</v>
      </c>
      <c r="H11" s="289" t="s">
        <v>467</v>
      </c>
      <c r="I11" s="102" t="str">
        <f>VLOOKUP(基础数据1!B79,基础数据1!B1:W79,'输入&amp;输出'!C3/10000+2,FALSE)</f>
        <v>630×9</v>
      </c>
      <c r="J11" s="68">
        <f>'输入&amp;输出'!C5-'输入&amp;输出'!C4+5</f>
        <v>16</v>
      </c>
      <c r="K11" s="102"/>
    </row>
    <row r="12" spans="1:18" ht="20" customHeight="1">
      <c r="A12" s="68">
        <v>1.2</v>
      </c>
      <c r="B12" s="68" t="s">
        <v>164</v>
      </c>
      <c r="C12" s="291" t="str">
        <f>C11</f>
        <v>Q235A，1.0MPa，D630×9</v>
      </c>
      <c r="D12" s="68" t="s">
        <v>165</v>
      </c>
      <c r="E12" s="252">
        <f>E4*J12</f>
        <v>12</v>
      </c>
      <c r="F12" s="77"/>
      <c r="G12" s="68" t="s">
        <v>158</v>
      </c>
      <c r="J12" s="68">
        <v>3</v>
      </c>
    </row>
    <row r="13" spans="1:18" ht="20" customHeight="1">
      <c r="A13" s="68">
        <v>1.3</v>
      </c>
      <c r="B13" s="251" t="s">
        <v>458</v>
      </c>
      <c r="C13" s="299" t="str">
        <f>H13&amp;I13&amp;"-"&amp;I10</f>
        <v>DN300-600</v>
      </c>
      <c r="D13" s="68" t="s">
        <v>165</v>
      </c>
      <c r="E13" s="3">
        <f>E4</f>
        <v>4</v>
      </c>
      <c r="F13" s="77" t="s">
        <v>495</v>
      </c>
      <c r="G13" s="68" t="s">
        <v>158</v>
      </c>
      <c r="H13" s="296" t="s">
        <v>493</v>
      </c>
      <c r="I13" s="300">
        <f>VLOOKUP(基础数据1!B93,基础数据1!B1:W126,'输入&amp;输出'!C3/10000+2,FALSE)</f>
        <v>300</v>
      </c>
    </row>
    <row r="14" spans="1:18" ht="20" customHeight="1">
      <c r="A14" s="68">
        <v>1.4</v>
      </c>
      <c r="B14" s="293" t="s">
        <v>490</v>
      </c>
      <c r="C14" s="298" t="s">
        <v>491</v>
      </c>
      <c r="D14" s="68" t="s">
        <v>165</v>
      </c>
      <c r="E14" s="3">
        <f>E4</f>
        <v>4</v>
      </c>
      <c r="F14" s="77" t="s">
        <v>492</v>
      </c>
      <c r="G14" s="68" t="s">
        <v>158</v>
      </c>
    </row>
    <row r="15" spans="1:18" ht="20" customHeight="1">
      <c r="A15" s="68">
        <v>1.5</v>
      </c>
      <c r="B15" s="251" t="s">
        <v>459</v>
      </c>
      <c r="C15" s="299" t="str">
        <f>H10&amp;I10</f>
        <v>Q235A，1.0MPa，DN600</v>
      </c>
      <c r="D15" s="68" t="s">
        <v>461</v>
      </c>
      <c r="E15" s="3">
        <f>3*E4</f>
        <v>12</v>
      </c>
      <c r="F15" s="77" t="s">
        <v>463</v>
      </c>
      <c r="G15" s="68" t="s">
        <v>158</v>
      </c>
    </row>
    <row r="16" spans="1:18" ht="20" customHeight="1">
      <c r="A16" s="68">
        <v>1.6</v>
      </c>
      <c r="B16" s="251" t="s">
        <v>460</v>
      </c>
      <c r="C16" s="299"/>
      <c r="D16" s="68" t="s">
        <v>165</v>
      </c>
      <c r="E16" s="3">
        <f>E4*IF(J4&gt;5,2,1)</f>
        <v>8</v>
      </c>
      <c r="F16" s="77" t="s">
        <v>462</v>
      </c>
      <c r="G16" s="68" t="s">
        <v>158</v>
      </c>
    </row>
    <row r="17" spans="1:10" ht="40.5" customHeight="1">
      <c r="A17" s="68">
        <v>1.7</v>
      </c>
      <c r="B17" s="293" t="s">
        <v>488</v>
      </c>
      <c r="C17" s="299" t="str">
        <f>H17&amp;I17&amp;J17</f>
        <v>洞口尺寸：1.5×1.2m2</v>
      </c>
      <c r="D17" s="68" t="s">
        <v>486</v>
      </c>
      <c r="E17" s="3">
        <f>E4</f>
        <v>4</v>
      </c>
      <c r="F17" s="77" t="s">
        <v>511</v>
      </c>
      <c r="G17" s="68" t="s">
        <v>158</v>
      </c>
      <c r="H17" s="333" t="s">
        <v>509</v>
      </c>
      <c r="I17" s="84" t="str">
        <f>VLOOKUP(基础数据1!B80,基础数据1!B1:W179,'输入&amp;输出'!C3/10000+2,FALSE)</f>
        <v>1.5×1.2</v>
      </c>
      <c r="J17" s="297" t="s">
        <v>494</v>
      </c>
    </row>
    <row r="18" spans="1:10" ht="40.5" customHeight="1">
      <c r="A18" s="68">
        <v>1.8</v>
      </c>
      <c r="B18" s="293" t="s">
        <v>489</v>
      </c>
      <c r="C18" s="334" t="s">
        <v>510</v>
      </c>
      <c r="D18" s="68" t="s">
        <v>486</v>
      </c>
      <c r="E18" s="3">
        <v>5</v>
      </c>
      <c r="F18" s="77" t="s">
        <v>511</v>
      </c>
      <c r="G18" s="68" t="s">
        <v>158</v>
      </c>
    </row>
    <row r="19" spans="1:10" ht="20" customHeight="1">
      <c r="A19" s="68">
        <v>1.9</v>
      </c>
      <c r="B19" s="293" t="s">
        <v>485</v>
      </c>
      <c r="C19" s="299" t="str">
        <f>H19&amp;I10</f>
        <v>DN600</v>
      </c>
      <c r="D19" s="68" t="s">
        <v>165</v>
      </c>
      <c r="E19" s="3">
        <f>E4</f>
        <v>4</v>
      </c>
      <c r="F19" s="77" t="s">
        <v>487</v>
      </c>
      <c r="G19" s="68" t="s">
        <v>158</v>
      </c>
      <c r="H19" s="296" t="s">
        <v>493</v>
      </c>
    </row>
    <row r="20" spans="1:10" ht="20" customHeight="1"/>
  </sheetData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92D050"/>
  </sheetPr>
  <dimension ref="A1:X44"/>
  <sheetViews>
    <sheetView view="pageBreakPreview" zoomScale="55" zoomScaleNormal="70" zoomScaleSheetLayoutView="55" workbookViewId="0">
      <selection activeCell="I21" sqref="I21"/>
    </sheetView>
  </sheetViews>
  <sheetFormatPr baseColWidth="10" defaultColWidth="8.83203125" defaultRowHeight="15"/>
  <cols>
    <col min="3" max="5" width="6.33203125" customWidth="1"/>
    <col min="12" max="15" width="8.6640625" customWidth="1"/>
    <col min="16" max="16" width="12.1640625" customWidth="1"/>
    <col min="17" max="22" width="9" hidden="1" customWidth="1"/>
    <col min="23" max="23" width="65.1640625" hidden="1" customWidth="1"/>
    <col min="24" max="25" width="0" hidden="1" customWidth="1"/>
  </cols>
  <sheetData>
    <row r="1" spans="1:24" ht="28">
      <c r="A1" s="597" t="s">
        <v>206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8"/>
      <c r="N1" s="598"/>
      <c r="O1" s="598"/>
      <c r="P1" s="599"/>
      <c r="Q1" s="584" t="s">
        <v>98</v>
      </c>
      <c r="R1" s="585"/>
      <c r="S1" s="585"/>
      <c r="T1" s="585"/>
      <c r="U1" s="585"/>
      <c r="V1" s="585"/>
      <c r="W1" s="585"/>
    </row>
    <row r="2" spans="1:24" ht="17">
      <c r="A2" s="595" t="s">
        <v>46</v>
      </c>
      <c r="B2" s="595" t="s">
        <v>99</v>
      </c>
      <c r="C2" s="586" t="s">
        <v>100</v>
      </c>
      <c r="D2" s="587"/>
      <c r="E2" s="588"/>
      <c r="F2" s="595" t="s">
        <v>101</v>
      </c>
      <c r="G2" s="595" t="s">
        <v>2</v>
      </c>
      <c r="H2" s="595" t="s">
        <v>102</v>
      </c>
      <c r="I2" s="595" t="s">
        <v>103</v>
      </c>
      <c r="J2" s="595" t="s">
        <v>104</v>
      </c>
      <c r="K2" s="595" t="s">
        <v>105</v>
      </c>
      <c r="L2" s="595" t="s">
        <v>106</v>
      </c>
      <c r="M2" s="595" t="s">
        <v>107</v>
      </c>
      <c r="N2" s="595" t="s">
        <v>108</v>
      </c>
      <c r="O2" s="595" t="s">
        <v>109</v>
      </c>
      <c r="P2" s="595" t="s">
        <v>110</v>
      </c>
      <c r="Q2" s="589" t="s">
        <v>111</v>
      </c>
      <c r="R2" s="590"/>
      <c r="S2" s="591"/>
      <c r="T2" s="592" t="s">
        <v>112</v>
      </c>
      <c r="U2" s="593"/>
      <c r="V2" s="594"/>
      <c r="W2" s="595" t="s">
        <v>113</v>
      </c>
    </row>
    <row r="3" spans="1:24" ht="54">
      <c r="A3" s="596"/>
      <c r="B3" s="596"/>
      <c r="C3" s="56" t="s">
        <v>114</v>
      </c>
      <c r="D3" s="56" t="s">
        <v>115</v>
      </c>
      <c r="E3" s="56" t="s">
        <v>116</v>
      </c>
      <c r="F3" s="596"/>
      <c r="G3" s="596"/>
      <c r="H3" s="596"/>
      <c r="I3" s="596"/>
      <c r="J3" s="596"/>
      <c r="K3" s="596"/>
      <c r="L3" s="596"/>
      <c r="M3" s="596"/>
      <c r="N3" s="596"/>
      <c r="O3" s="596"/>
      <c r="P3" s="596"/>
      <c r="Q3" s="63" t="s">
        <v>117</v>
      </c>
      <c r="R3" s="63" t="s">
        <v>118</v>
      </c>
      <c r="S3" s="63" t="s">
        <v>119</v>
      </c>
      <c r="T3" s="63" t="s">
        <v>120</v>
      </c>
      <c r="U3" s="64" t="s">
        <v>121</v>
      </c>
      <c r="V3" s="64" t="s">
        <v>122</v>
      </c>
      <c r="W3" s="596"/>
    </row>
    <row r="4" spans="1:24" ht="36">
      <c r="A4" s="51">
        <v>1</v>
      </c>
      <c r="B4" s="51" t="s">
        <v>123</v>
      </c>
      <c r="C4" s="57"/>
      <c r="D4" s="57"/>
      <c r="E4" s="58"/>
      <c r="F4" s="58"/>
      <c r="G4" s="52"/>
      <c r="H4" s="52"/>
      <c r="I4" s="53"/>
      <c r="J4" s="53"/>
      <c r="K4" s="53"/>
      <c r="L4" s="53"/>
      <c r="M4" s="53"/>
      <c r="N4" s="53"/>
      <c r="O4" s="60"/>
      <c r="P4" s="60"/>
      <c r="Q4" s="58"/>
      <c r="R4" s="58"/>
      <c r="S4" s="58"/>
      <c r="T4" s="58"/>
      <c r="U4" s="65"/>
      <c r="V4" s="65"/>
      <c r="W4" s="60"/>
    </row>
    <row r="5" spans="1:24" s="90" customFormat="1" ht="52.5" customHeight="1">
      <c r="A5" s="54">
        <v>1.1000000000000001</v>
      </c>
      <c r="B5" s="54" t="s">
        <v>203</v>
      </c>
      <c r="C5" s="120">
        <f>C6</f>
        <v>17.100000000000001</v>
      </c>
      <c r="D5" s="59">
        <f>VLOOKUP(基础数据1!B41,基础数据1!$B$1:$W$41,'输入&amp;输出'!$C$3/10000+2,FALSE)</f>
        <v>1.1574074074074074</v>
      </c>
      <c r="E5" s="120">
        <f>E6</f>
        <v>10.5</v>
      </c>
      <c r="F5" s="120">
        <f>F6</f>
        <v>3.2</v>
      </c>
      <c r="G5" s="54" t="s">
        <v>124</v>
      </c>
      <c r="H5" s="54">
        <v>1</v>
      </c>
      <c r="I5" s="54"/>
      <c r="J5" s="54"/>
      <c r="K5" s="120">
        <f>K6</f>
        <v>11.2</v>
      </c>
      <c r="L5" s="54"/>
      <c r="M5" s="54"/>
      <c r="N5" s="54"/>
      <c r="O5" s="54"/>
      <c r="P5" s="62" t="s">
        <v>125</v>
      </c>
      <c r="Q5" s="119"/>
      <c r="R5" s="119"/>
      <c r="S5" s="119"/>
      <c r="T5" s="119"/>
      <c r="U5" s="126"/>
      <c r="V5" s="126"/>
      <c r="W5" s="123"/>
    </row>
    <row r="6" spans="1:24" ht="52.5" customHeight="1">
      <c r="A6" s="54">
        <v>1.2</v>
      </c>
      <c r="B6" s="54" t="s">
        <v>127</v>
      </c>
      <c r="C6" s="212">
        <f>VLOOKUP(基础数据1!B39,基础数据1!$B$1:$W$39,'输入&amp;输出'!$C$3/10000+2,FALSE)</f>
        <v>17.100000000000001</v>
      </c>
      <c r="D6" s="212">
        <f>VLOOKUP(基础数据1!B38,基础数据1!$B$1:$W$39,'输入&amp;输出'!$C$3/10000+2,FALSE)</f>
        <v>9.5</v>
      </c>
      <c r="E6" s="212">
        <f>VLOOKUP(基础数据1!B33,基础数据1!$B$1:$W$39,'输入&amp;输出'!$C$3/10000+2,FALSE)</f>
        <v>10.5</v>
      </c>
      <c r="F6" s="59">
        <f>VLOOKUP(基础数据1!B40,基础数据1!$B$1:$W$40,'输入&amp;输出'!$C$3/10000+2,FALSE)</f>
        <v>3.2</v>
      </c>
      <c r="G6" s="54" t="s">
        <v>124</v>
      </c>
      <c r="H6" s="54">
        <v>1</v>
      </c>
      <c r="I6" s="50" t="s">
        <v>204</v>
      </c>
      <c r="J6" s="50"/>
      <c r="K6" s="59">
        <f>VLOOKUP(基础数据1!B34,基础数据1!$B$1:$W$40,'输入&amp;输出'!$C$3/10000+2,FALSE)+1</f>
        <v>11.2</v>
      </c>
      <c r="L6" s="50"/>
      <c r="M6" s="50"/>
      <c r="N6" s="50"/>
      <c r="O6" s="61"/>
      <c r="P6" s="62" t="s">
        <v>125</v>
      </c>
      <c r="Q6" s="118"/>
      <c r="R6" s="118"/>
      <c r="S6" s="118"/>
      <c r="T6" s="66"/>
      <c r="U6" s="118"/>
      <c r="V6" s="118"/>
      <c r="W6" s="61" t="s">
        <v>128</v>
      </c>
      <c r="X6" t="str">
        <f>C6&amp;"×"&amp;D6&amp;"×"&amp;E6</f>
        <v>17.1×9.5×10.5</v>
      </c>
    </row>
    <row r="7" spans="1:24" ht="52.5" customHeight="1">
      <c r="A7" s="54">
        <v>1.3</v>
      </c>
      <c r="B7" s="54" t="s">
        <v>188</v>
      </c>
      <c r="C7" s="59">
        <f>C6</f>
        <v>17.100000000000001</v>
      </c>
      <c r="D7" s="59">
        <f>D6*0.6</f>
        <v>5.7</v>
      </c>
      <c r="E7" s="59">
        <v>5</v>
      </c>
      <c r="F7" s="66" t="s">
        <v>126</v>
      </c>
      <c r="G7" s="54" t="s">
        <v>124</v>
      </c>
      <c r="H7" s="54">
        <v>1</v>
      </c>
      <c r="I7" s="50" t="s">
        <v>129</v>
      </c>
      <c r="J7" s="50"/>
      <c r="K7" s="66" t="s">
        <v>126</v>
      </c>
      <c r="L7" s="50"/>
      <c r="M7" s="50"/>
      <c r="N7" s="50"/>
      <c r="O7" s="61"/>
      <c r="P7" s="62" t="s">
        <v>125</v>
      </c>
      <c r="Q7" s="66"/>
      <c r="R7" s="66"/>
      <c r="S7" s="66"/>
      <c r="T7" s="66"/>
      <c r="U7" s="118"/>
      <c r="V7" s="118"/>
      <c r="W7" s="61" t="s">
        <v>130</v>
      </c>
    </row>
    <row r="44" spans="5:5" ht="18">
      <c r="E44" s="55" t="s">
        <v>131</v>
      </c>
    </row>
  </sheetData>
  <mergeCells count="19">
    <mergeCell ref="A1:P1"/>
    <mergeCell ref="A2:A3"/>
    <mergeCell ref="B2:B3"/>
    <mergeCell ref="Q1:W1"/>
    <mergeCell ref="C2:E2"/>
    <mergeCell ref="Q2:S2"/>
    <mergeCell ref="T2:V2"/>
    <mergeCell ref="W2:W3"/>
    <mergeCell ref="F2:F3"/>
    <mergeCell ref="G2:G3"/>
    <mergeCell ref="N2:N3"/>
    <mergeCell ref="O2:O3"/>
    <mergeCell ref="P2:P3"/>
    <mergeCell ref="H2:H3"/>
    <mergeCell ref="I2:I3"/>
    <mergeCell ref="J2:J3"/>
    <mergeCell ref="K2:K3"/>
    <mergeCell ref="L2:L3"/>
    <mergeCell ref="M2:M3"/>
  </mergeCells>
  <phoneticPr fontId="12" type="noConversion"/>
  <pageMargins left="0.75" right="0.75" top="1" bottom="1" header="0.51180555555555551" footer="0.51180555555555551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7" tint="0.39997558519241921"/>
  </sheetPr>
  <dimension ref="A1:H5"/>
  <sheetViews>
    <sheetView view="pageBreakPreview" zoomScale="115" zoomScaleNormal="100" zoomScaleSheetLayoutView="115" workbookViewId="0">
      <selection activeCell="I21" sqref="I21"/>
    </sheetView>
  </sheetViews>
  <sheetFormatPr baseColWidth="10" defaultColWidth="8.83203125" defaultRowHeight="15"/>
  <cols>
    <col min="2" max="2" width="19.5" customWidth="1"/>
    <col min="3" max="3" width="8.6640625" customWidth="1"/>
    <col min="6" max="6" width="18.33203125" customWidth="1"/>
    <col min="8" max="8" width="0" hidden="1" customWidth="1"/>
  </cols>
  <sheetData>
    <row r="1" spans="1:8" ht="28">
      <c r="A1" s="600" t="s">
        <v>198</v>
      </c>
      <c r="B1" s="600"/>
      <c r="C1" s="600"/>
      <c r="D1" s="600"/>
      <c r="E1" s="600"/>
      <c r="F1" s="600"/>
      <c r="G1" s="600"/>
    </row>
    <row r="2" spans="1:8" ht="18">
      <c r="A2" s="127" t="s">
        <v>190</v>
      </c>
      <c r="B2" s="127" t="s">
        <v>191</v>
      </c>
      <c r="C2" s="127" t="s">
        <v>192</v>
      </c>
      <c r="D2" s="127" t="s">
        <v>2</v>
      </c>
      <c r="E2" s="127" t="s">
        <v>102</v>
      </c>
      <c r="F2" s="127" t="s">
        <v>193</v>
      </c>
      <c r="G2" s="131" t="s">
        <v>110</v>
      </c>
    </row>
    <row r="3" spans="1:8" ht="27.5" customHeight="1">
      <c r="A3" s="132" t="s">
        <v>199</v>
      </c>
      <c r="B3" s="129" t="s">
        <v>195</v>
      </c>
      <c r="C3" s="129" t="s">
        <v>196</v>
      </c>
      <c r="D3" s="128" t="s">
        <v>194</v>
      </c>
      <c r="E3" s="128">
        <v>1</v>
      </c>
      <c r="F3" s="130" t="s">
        <v>202</v>
      </c>
      <c r="G3" s="128" t="s">
        <v>125</v>
      </c>
    </row>
    <row r="4" spans="1:8" ht="27.5" hidden="1" customHeight="1">
      <c r="A4" s="132" t="s">
        <v>200</v>
      </c>
      <c r="B4" s="129" t="s">
        <v>197</v>
      </c>
      <c r="C4" s="129" t="str">
        <f>_xlfn.CONCAT("分体式，DN",H4)</f>
        <v>分体式，DN600</v>
      </c>
      <c r="D4" s="128" t="s">
        <v>194</v>
      </c>
      <c r="E4" s="124">
        <f>VLOOKUP(基础数据1!B9,基础数据1!$B$1:$W$39,'输入&amp;输出'!$C$3/10000+2,FALSE)</f>
        <v>4</v>
      </c>
      <c r="F4" s="130" t="s">
        <v>201</v>
      </c>
      <c r="G4" s="128" t="s">
        <v>125</v>
      </c>
      <c r="H4" s="124">
        <f>1000*VLOOKUP(基础数据1!B26,基础数据1!$B$1:$W$39,'输入&amp;输出'!$C$3/10000+2,FALSE)</f>
        <v>600</v>
      </c>
    </row>
    <row r="5" spans="1:8" ht="27.5" customHeight="1">
      <c r="A5" s="132" t="s">
        <v>200</v>
      </c>
      <c r="B5" s="129" t="s">
        <v>213</v>
      </c>
      <c r="C5" s="129"/>
      <c r="D5" s="128" t="s">
        <v>194</v>
      </c>
      <c r="E5" s="128">
        <v>1</v>
      </c>
      <c r="F5" s="130" t="s">
        <v>214</v>
      </c>
      <c r="G5" s="128" t="s">
        <v>125</v>
      </c>
    </row>
  </sheetData>
  <mergeCells count="1">
    <mergeCell ref="A1:G1"/>
  </mergeCells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4" tint="-0.499984740745262"/>
  </sheetPr>
  <dimension ref="A1:E6"/>
  <sheetViews>
    <sheetView workbookViewId="0">
      <selection activeCell="B2" sqref="B2"/>
    </sheetView>
  </sheetViews>
  <sheetFormatPr baseColWidth="10" defaultColWidth="8.83203125" defaultRowHeight="15"/>
  <cols>
    <col min="1" max="1" width="11.83203125" style="1" customWidth="1"/>
    <col min="2" max="2" width="8.6640625" style="1" customWidth="1"/>
    <col min="3" max="3" width="5.1640625" style="1" customWidth="1"/>
    <col min="4" max="4" width="16.1640625" style="1" customWidth="1"/>
    <col min="5" max="5" width="13.33203125" style="1" customWidth="1"/>
    <col min="6" max="6" width="9.83203125" customWidth="1"/>
    <col min="7" max="7" width="16.6640625" customWidth="1"/>
  </cols>
  <sheetData>
    <row r="1" spans="1:5">
      <c r="A1" s="141" t="s">
        <v>228</v>
      </c>
      <c r="B1" s="141" t="s">
        <v>229</v>
      </c>
      <c r="C1" s="141" t="s">
        <v>230</v>
      </c>
      <c r="D1" s="141" t="s">
        <v>231</v>
      </c>
      <c r="E1" s="141" t="s">
        <v>233</v>
      </c>
    </row>
    <row r="2" spans="1:5">
      <c r="A2" s="122" t="s">
        <v>219</v>
      </c>
      <c r="B2" s="3">
        <f>VLOOKUP(基础数据1!B42,基础数据1!$B$1:$W$61,'输入&amp;输出'!$C$3/10000+2,FALSE)</f>
        <v>-6.1000000000000014</v>
      </c>
      <c r="C2" s="121" t="s">
        <v>96</v>
      </c>
      <c r="D2" s="3" t="str">
        <f>_xlfn.CONCAT("启动",VLOOKUP(基础数据1!B9,基础数据1!$B$1:$W$61,'输入&amp;输出'!$C$3/10000+2,FALSE),"台泵")</f>
        <v>启动4台泵</v>
      </c>
      <c r="E2" s="251" t="str">
        <f>E3</f>
        <v>2台变频</v>
      </c>
    </row>
    <row r="3" spans="1:5">
      <c r="A3" s="122" t="s">
        <v>218</v>
      </c>
      <c r="B3" s="3">
        <f>VLOOKUP(基础数据1!B43,基础数据1!$B$1:$W$61,'输入&amp;输出'!$C$3/10000+2,FALSE)</f>
        <v>-6.7000000000000011</v>
      </c>
      <c r="C3" s="121" t="s">
        <v>96</v>
      </c>
      <c r="D3" s="3" t="str">
        <f>_xlfn.CONCAT("启动",VLOOKUP(基础数据1!B7,基础数据1!$B$1:$W$61,'输入&amp;输出'!$C$3/10000+2,FALSE),"台泵")</f>
        <v>启动3台泵</v>
      </c>
      <c r="E3" s="251" t="str">
        <f>VLOOKUP(基础数据1!B77,基础数据1!B1:W77,'输入&amp;输出'!C3/10000+2,FALSE)&amp;"台变频"</f>
        <v>2台变频</v>
      </c>
    </row>
    <row r="4" spans="1:5">
      <c r="A4" s="122" t="s">
        <v>217</v>
      </c>
      <c r="B4" s="3">
        <f>VLOOKUP(基础数据1!B44,基础数据1!$B$1:$W$61,'输入&amp;输出'!$C$3/10000+2,FALSE)</f>
        <v>-7.3000000000000007</v>
      </c>
      <c r="C4" s="121" t="s">
        <v>96</v>
      </c>
      <c r="D4" s="3" t="str">
        <f>_xlfn.CONCAT("启动",VLOOKUP(基础数据1!B48,基础数据1!$B$1:$W$61,'输入&amp;输出'!$C$3/10000+2,FALSE),"台泵")</f>
        <v>启动2台泵</v>
      </c>
      <c r="E4" s="141" t="s">
        <v>232</v>
      </c>
    </row>
    <row r="5" spans="1:5">
      <c r="A5" s="122" t="s">
        <v>216</v>
      </c>
      <c r="B5" s="3">
        <f>VLOOKUP(基础数据1!B45,基础数据1!$B$1:$W$61,'输入&amp;输出'!$C$3/10000+2,FALSE)</f>
        <v>-7.9</v>
      </c>
      <c r="C5" s="121" t="s">
        <v>96</v>
      </c>
      <c r="D5" s="141" t="s">
        <v>227</v>
      </c>
      <c r="E5" s="141" t="s">
        <v>234</v>
      </c>
    </row>
    <row r="6" spans="1:5">
      <c r="A6" s="122" t="s">
        <v>215</v>
      </c>
      <c r="B6" s="3">
        <f>VLOOKUP(基础数据1!B46,基础数据1!$B$1:$W$61,'输入&amp;输出'!$C$3/10000+2,FALSE)</f>
        <v>-8.5</v>
      </c>
      <c r="C6" s="121" t="s">
        <v>96</v>
      </c>
      <c r="D6" s="141" t="s">
        <v>226</v>
      </c>
      <c r="E6" s="3"/>
    </row>
  </sheetData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rgb="FFFF0000"/>
  </sheetPr>
  <dimension ref="A1:AF93"/>
  <sheetViews>
    <sheetView zoomScale="90" zoomScaleNormal="90" zoomScaleSheetLayoutView="100" workbookViewId="0">
      <selection activeCell="I21" sqref="I21"/>
    </sheetView>
  </sheetViews>
  <sheetFormatPr baseColWidth="10" defaultColWidth="8.83203125" defaultRowHeight="15"/>
  <cols>
    <col min="1" max="1" width="9" style="1"/>
    <col min="2" max="2" width="17.83203125" style="1" customWidth="1"/>
    <col min="3" max="3" width="6.1640625" style="1" customWidth="1"/>
    <col min="4" max="23" width="9.33203125" customWidth="1"/>
    <col min="24" max="24" width="12.33203125" style="97" customWidth="1"/>
    <col min="25" max="25" width="20.1640625" style="91" customWidth="1"/>
    <col min="26" max="27" width="9" style="91"/>
    <col min="31" max="31" width="11.6640625" customWidth="1"/>
  </cols>
  <sheetData>
    <row r="1" spans="1:32" ht="34">
      <c r="A1" s="155" t="s">
        <v>235</v>
      </c>
      <c r="B1" s="142" t="s">
        <v>11</v>
      </c>
      <c r="C1" s="23" t="s">
        <v>12</v>
      </c>
      <c r="D1" s="24">
        <v>10000</v>
      </c>
      <c r="E1" s="24">
        <v>20000</v>
      </c>
      <c r="F1" s="24">
        <v>30000</v>
      </c>
      <c r="G1" s="24">
        <v>40000</v>
      </c>
      <c r="H1" s="24">
        <v>50000</v>
      </c>
      <c r="I1" s="24">
        <v>60000</v>
      </c>
      <c r="J1" s="24">
        <v>70000</v>
      </c>
      <c r="K1" s="24">
        <v>80000</v>
      </c>
      <c r="L1" s="24">
        <v>90000</v>
      </c>
      <c r="M1" s="24">
        <v>100000</v>
      </c>
      <c r="N1" s="24">
        <v>110000</v>
      </c>
      <c r="O1" s="24">
        <v>120000</v>
      </c>
      <c r="P1" s="24">
        <v>130000</v>
      </c>
      <c r="Q1" s="24">
        <v>140000</v>
      </c>
      <c r="R1" s="24">
        <v>150000</v>
      </c>
      <c r="S1" s="24">
        <v>160000</v>
      </c>
      <c r="T1" s="24">
        <v>170000</v>
      </c>
      <c r="U1" s="24">
        <v>180000</v>
      </c>
      <c r="V1" s="24">
        <v>190000</v>
      </c>
      <c r="W1" s="24">
        <v>200000</v>
      </c>
      <c r="X1" s="85"/>
      <c r="Z1" s="602" t="s">
        <v>436</v>
      </c>
      <c r="AA1" s="195" t="s">
        <v>295</v>
      </c>
      <c r="AB1" s="195" t="s">
        <v>437</v>
      </c>
      <c r="AC1" s="190"/>
      <c r="AD1" s="190"/>
      <c r="AE1" s="191"/>
      <c r="AF1" s="191"/>
    </row>
    <row r="2" spans="1:32" ht="18">
      <c r="A2" s="156"/>
      <c r="B2" s="142" t="s">
        <v>13</v>
      </c>
      <c r="C2" s="23" t="s">
        <v>14</v>
      </c>
      <c r="D2" s="248">
        <v>1.88</v>
      </c>
      <c r="E2" s="248">
        <v>1.78</v>
      </c>
      <c r="F2" s="248">
        <v>1.7</v>
      </c>
      <c r="G2" s="248">
        <v>1.62</v>
      </c>
      <c r="H2" s="248">
        <v>1.58</v>
      </c>
      <c r="I2" s="248">
        <v>1.56</v>
      </c>
      <c r="J2" s="248">
        <v>1.54</v>
      </c>
      <c r="K2" s="248">
        <v>1.51</v>
      </c>
      <c r="L2" s="248">
        <v>1.5</v>
      </c>
      <c r="M2" s="248">
        <v>1.5</v>
      </c>
      <c r="N2" s="248">
        <v>1.5</v>
      </c>
      <c r="O2" s="248">
        <v>1.5</v>
      </c>
      <c r="P2" s="248">
        <v>1.5</v>
      </c>
      <c r="Q2" s="248">
        <v>1.5</v>
      </c>
      <c r="R2" s="248">
        <v>1.5</v>
      </c>
      <c r="S2" s="248">
        <v>1.5</v>
      </c>
      <c r="T2" s="248">
        <v>1.5</v>
      </c>
      <c r="U2" s="248">
        <v>1.5</v>
      </c>
      <c r="V2" s="248">
        <v>1.5</v>
      </c>
      <c r="W2" s="248">
        <v>1.5</v>
      </c>
      <c r="X2" s="86"/>
      <c r="Z2" s="602"/>
      <c r="AA2" s="198">
        <v>5</v>
      </c>
      <c r="AB2" s="198">
        <v>2.7</v>
      </c>
      <c r="AC2" s="190"/>
      <c r="AD2" s="196" t="s">
        <v>438</v>
      </c>
      <c r="AE2" s="197">
        <v>70000</v>
      </c>
      <c r="AF2" s="191" t="s">
        <v>439</v>
      </c>
    </row>
    <row r="3" spans="1:32" ht="16">
      <c r="A3" s="161" t="s">
        <v>253</v>
      </c>
      <c r="B3" s="142" t="s">
        <v>15</v>
      </c>
      <c r="C3" s="23" t="s">
        <v>16</v>
      </c>
      <c r="D3" s="25">
        <f t="shared" ref="D3:W3" si="0">D1/24</f>
        <v>416.66666666666669</v>
      </c>
      <c r="E3" s="25">
        <f t="shared" si="0"/>
        <v>833.33333333333337</v>
      </c>
      <c r="F3" s="25">
        <f t="shared" si="0"/>
        <v>1250</v>
      </c>
      <c r="G3" s="25">
        <f t="shared" si="0"/>
        <v>1666.6666666666667</v>
      </c>
      <c r="H3" s="25">
        <f t="shared" si="0"/>
        <v>2083.3333333333335</v>
      </c>
      <c r="I3" s="25">
        <f t="shared" si="0"/>
        <v>2500</v>
      </c>
      <c r="J3" s="25">
        <f t="shared" si="0"/>
        <v>2916.6666666666665</v>
      </c>
      <c r="K3" s="25">
        <f t="shared" si="0"/>
        <v>3333.3333333333335</v>
      </c>
      <c r="L3" s="25">
        <f t="shared" si="0"/>
        <v>3750</v>
      </c>
      <c r="M3" s="25">
        <f t="shared" si="0"/>
        <v>4166.666666666667</v>
      </c>
      <c r="N3" s="25">
        <f t="shared" si="0"/>
        <v>4583.333333333333</v>
      </c>
      <c r="O3" s="25">
        <f t="shared" si="0"/>
        <v>5000</v>
      </c>
      <c r="P3" s="25">
        <f t="shared" si="0"/>
        <v>5416.666666666667</v>
      </c>
      <c r="Q3" s="25">
        <f t="shared" si="0"/>
        <v>5833.333333333333</v>
      </c>
      <c r="R3" s="25">
        <f t="shared" si="0"/>
        <v>6250</v>
      </c>
      <c r="S3" s="25">
        <f t="shared" si="0"/>
        <v>6666.666666666667</v>
      </c>
      <c r="T3" s="25">
        <f t="shared" si="0"/>
        <v>7083.333333333333</v>
      </c>
      <c r="U3" s="25">
        <f t="shared" si="0"/>
        <v>7500</v>
      </c>
      <c r="V3" s="25">
        <f t="shared" si="0"/>
        <v>7916.666666666667</v>
      </c>
      <c r="W3" s="25">
        <f t="shared" si="0"/>
        <v>8333.3333333333339</v>
      </c>
      <c r="X3" s="87"/>
      <c r="Z3" s="602"/>
      <c r="AA3" s="198">
        <v>15</v>
      </c>
      <c r="AB3" s="198">
        <v>2.4</v>
      </c>
      <c r="AC3" s="190"/>
      <c r="AD3" s="196" t="s">
        <v>438</v>
      </c>
      <c r="AE3" s="199">
        <f>AE2*1000/24/3600</f>
        <v>810.18518518518511</v>
      </c>
      <c r="AF3" s="191" t="s">
        <v>440</v>
      </c>
    </row>
    <row r="4" spans="1:32" ht="16">
      <c r="A4" s="156"/>
      <c r="B4" s="142" t="s">
        <v>17</v>
      </c>
      <c r="C4" s="23" t="s">
        <v>18</v>
      </c>
      <c r="D4" s="25">
        <f>D3/3.6</f>
        <v>115.74074074074075</v>
      </c>
      <c r="E4" s="25">
        <f>E3/3.6</f>
        <v>231.4814814814815</v>
      </c>
      <c r="F4" s="25">
        <f>F3/3.6</f>
        <v>347.22222222222223</v>
      </c>
      <c r="G4" s="25">
        <f>G3/3.6</f>
        <v>462.96296296296299</v>
      </c>
      <c r="H4" s="25">
        <f t="shared" ref="H4:W4" si="1">H3/3.6</f>
        <v>578.7037037037037</v>
      </c>
      <c r="I4" s="25">
        <f t="shared" si="1"/>
        <v>694.44444444444446</v>
      </c>
      <c r="J4" s="25">
        <f t="shared" si="1"/>
        <v>810.18518518518511</v>
      </c>
      <c r="K4" s="25">
        <f t="shared" si="1"/>
        <v>925.92592592592598</v>
      </c>
      <c r="L4" s="25">
        <f t="shared" si="1"/>
        <v>1041.6666666666667</v>
      </c>
      <c r="M4" s="25">
        <f t="shared" si="1"/>
        <v>1157.4074074074074</v>
      </c>
      <c r="N4" s="25">
        <f t="shared" si="1"/>
        <v>1273.148148148148</v>
      </c>
      <c r="O4" s="25">
        <f t="shared" si="1"/>
        <v>1388.8888888888889</v>
      </c>
      <c r="P4" s="25">
        <f t="shared" si="1"/>
        <v>1504.6296296296298</v>
      </c>
      <c r="Q4" s="25">
        <f t="shared" si="1"/>
        <v>1620.3703703703702</v>
      </c>
      <c r="R4" s="25">
        <f t="shared" si="1"/>
        <v>1736.1111111111111</v>
      </c>
      <c r="S4" s="25">
        <f t="shared" si="1"/>
        <v>1851.851851851852</v>
      </c>
      <c r="T4" s="25">
        <f t="shared" si="1"/>
        <v>1967.5925925925924</v>
      </c>
      <c r="U4" s="25">
        <f t="shared" si="1"/>
        <v>2083.3333333333335</v>
      </c>
      <c r="V4" s="25">
        <f t="shared" si="1"/>
        <v>2199.0740740740739</v>
      </c>
      <c r="W4" s="25">
        <f t="shared" si="1"/>
        <v>2314.8148148148148</v>
      </c>
      <c r="Z4" s="602"/>
      <c r="AA4" s="198">
        <v>40</v>
      </c>
      <c r="AB4" s="198">
        <v>2.1</v>
      </c>
      <c r="AC4" s="190"/>
      <c r="AD4" s="196" t="s">
        <v>441</v>
      </c>
      <c r="AE4" s="200">
        <f t="array" aca="1" ref="AE4" ca="1">IF(AE2="","",IFERROR(_xlfn.IFS(AE3&lt;AA2,AB2,AND(AE3&gt;=AA2,AE3&lt;=AA9),ROUND(TREND(OFFSET(AB1,MATCH(AE3,AA2:AA9,1),,2),OFFSET(AA1,MATCH(AE3,AA2:AA9),,2),AE3),2),AE3&gt;AA9,AB9),"请输入流量"))</f>
        <v>1.54</v>
      </c>
      <c r="AF4" s="191"/>
    </row>
    <row r="5" spans="1:32" ht="16">
      <c r="A5" s="165" t="s">
        <v>260</v>
      </c>
      <c r="B5" s="142" t="s">
        <v>19</v>
      </c>
      <c r="C5" s="23" t="s">
        <v>16</v>
      </c>
      <c r="D5" s="25">
        <f>D2*D3</f>
        <v>783.33333333333337</v>
      </c>
      <c r="E5" s="25">
        <f>E2*E3</f>
        <v>1483.3333333333335</v>
      </c>
      <c r="F5" s="25">
        <f>F2*F3</f>
        <v>2125</v>
      </c>
      <c r="G5" s="25">
        <f>G2*G3</f>
        <v>2700.0000000000005</v>
      </c>
      <c r="H5" s="25">
        <f t="shared" ref="H5:W5" si="2">H2*H3</f>
        <v>3291.666666666667</v>
      </c>
      <c r="I5" s="25">
        <f t="shared" si="2"/>
        <v>3900</v>
      </c>
      <c r="J5" s="25">
        <f t="shared" si="2"/>
        <v>4491.666666666667</v>
      </c>
      <c r="K5" s="25">
        <f t="shared" si="2"/>
        <v>5033.3333333333339</v>
      </c>
      <c r="L5" s="25">
        <f t="shared" si="2"/>
        <v>5625</v>
      </c>
      <c r="M5" s="25">
        <f t="shared" si="2"/>
        <v>6250</v>
      </c>
      <c r="N5" s="25">
        <f t="shared" si="2"/>
        <v>6875</v>
      </c>
      <c r="O5" s="25">
        <f t="shared" si="2"/>
        <v>7500</v>
      </c>
      <c r="P5" s="25">
        <f t="shared" si="2"/>
        <v>8125</v>
      </c>
      <c r="Q5" s="25">
        <f t="shared" si="2"/>
        <v>8750</v>
      </c>
      <c r="R5" s="25">
        <f t="shared" si="2"/>
        <v>9375</v>
      </c>
      <c r="S5" s="25">
        <f t="shared" si="2"/>
        <v>10000</v>
      </c>
      <c r="T5" s="25">
        <f t="shared" si="2"/>
        <v>10625</v>
      </c>
      <c r="U5" s="25">
        <f t="shared" si="2"/>
        <v>11250</v>
      </c>
      <c r="V5" s="25">
        <f t="shared" si="2"/>
        <v>11875</v>
      </c>
      <c r="W5" s="25">
        <f t="shared" si="2"/>
        <v>12500</v>
      </c>
      <c r="X5" s="87"/>
      <c r="Z5" s="602"/>
      <c r="AA5" s="198">
        <v>70</v>
      </c>
      <c r="AB5" s="198">
        <v>2</v>
      </c>
      <c r="AC5" s="190"/>
      <c r="AD5" s="190"/>
      <c r="AE5" s="191"/>
      <c r="AF5" s="191"/>
    </row>
    <row r="6" spans="1:32" ht="16">
      <c r="A6" s="156"/>
      <c r="B6" s="142"/>
      <c r="C6" s="23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87"/>
      <c r="Z6" s="602"/>
      <c r="AA6" s="198">
        <v>100</v>
      </c>
      <c r="AB6" s="198">
        <v>1.9</v>
      </c>
      <c r="AC6" s="190"/>
      <c r="AD6" s="190"/>
      <c r="AE6" s="191"/>
      <c r="AF6" s="191"/>
    </row>
    <row r="7" spans="1:32" ht="16">
      <c r="A7" s="158" t="s">
        <v>250</v>
      </c>
      <c r="B7" s="159" t="s">
        <v>20</v>
      </c>
      <c r="C7" s="160" t="s">
        <v>250</v>
      </c>
      <c r="D7" s="46">
        <v>3</v>
      </c>
      <c r="E7" s="46">
        <v>3</v>
      </c>
      <c r="F7" s="47">
        <v>3</v>
      </c>
      <c r="G7" s="47">
        <v>3</v>
      </c>
      <c r="H7" s="47">
        <v>3</v>
      </c>
      <c r="I7" s="48">
        <v>4</v>
      </c>
      <c r="J7" s="48">
        <v>4</v>
      </c>
      <c r="K7" s="48">
        <v>4</v>
      </c>
      <c r="L7" s="48">
        <v>4</v>
      </c>
      <c r="M7" s="48">
        <v>4</v>
      </c>
      <c r="N7" s="46">
        <v>5</v>
      </c>
      <c r="O7" s="46">
        <v>5</v>
      </c>
      <c r="P7" s="46">
        <v>5</v>
      </c>
      <c r="Q7" s="46">
        <v>5</v>
      </c>
      <c r="R7" s="46">
        <v>5</v>
      </c>
      <c r="S7" s="46">
        <v>5</v>
      </c>
      <c r="T7" s="46">
        <v>5</v>
      </c>
      <c r="U7" s="46">
        <v>5</v>
      </c>
      <c r="V7" s="46">
        <v>5</v>
      </c>
      <c r="W7" s="46">
        <v>5</v>
      </c>
      <c r="X7" s="88"/>
      <c r="Y7" s="87"/>
      <c r="Z7" s="602"/>
      <c r="AA7" s="198">
        <v>200</v>
      </c>
      <c r="AB7" s="198">
        <v>1.8</v>
      </c>
      <c r="AC7" s="190"/>
      <c r="AD7" s="190"/>
      <c r="AE7" s="191"/>
      <c r="AF7" s="191"/>
    </row>
    <row r="8" spans="1:32" ht="16">
      <c r="A8" s="158" t="s">
        <v>251</v>
      </c>
      <c r="B8" s="159" t="s">
        <v>22</v>
      </c>
      <c r="C8" s="160" t="s">
        <v>251</v>
      </c>
      <c r="D8" s="49">
        <v>1</v>
      </c>
      <c r="E8" s="49">
        <v>1</v>
      </c>
      <c r="F8" s="47">
        <v>1</v>
      </c>
      <c r="G8" s="47">
        <v>1</v>
      </c>
      <c r="H8" s="47">
        <v>1</v>
      </c>
      <c r="I8" s="48">
        <v>1</v>
      </c>
      <c r="J8" s="48">
        <v>1</v>
      </c>
      <c r="K8" s="48">
        <v>1</v>
      </c>
      <c r="L8" s="48">
        <v>1</v>
      </c>
      <c r="M8" s="48">
        <v>1</v>
      </c>
      <c r="N8" s="46">
        <v>2</v>
      </c>
      <c r="O8" s="46">
        <v>2</v>
      </c>
      <c r="P8" s="46">
        <v>2</v>
      </c>
      <c r="Q8" s="46">
        <v>2</v>
      </c>
      <c r="R8" s="46">
        <v>2</v>
      </c>
      <c r="S8" s="46">
        <v>2</v>
      </c>
      <c r="T8" s="46">
        <v>2</v>
      </c>
      <c r="U8" s="46">
        <v>2</v>
      </c>
      <c r="V8" s="46">
        <v>2</v>
      </c>
      <c r="W8" s="46">
        <v>2</v>
      </c>
      <c r="X8" s="88"/>
      <c r="Z8" s="602"/>
      <c r="AA8" s="198">
        <v>500</v>
      </c>
      <c r="AB8" s="198">
        <v>1.6</v>
      </c>
      <c r="AC8" s="190"/>
      <c r="AD8" s="190"/>
      <c r="AE8" s="191"/>
      <c r="AF8" s="191"/>
    </row>
    <row r="9" spans="1:32" ht="16">
      <c r="A9" s="158" t="s">
        <v>249</v>
      </c>
      <c r="B9" s="159" t="s">
        <v>153</v>
      </c>
      <c r="C9" s="160" t="s">
        <v>249</v>
      </c>
      <c r="D9" s="49">
        <f t="shared" ref="D9:W9" si="3">SUM(D7:D8)</f>
        <v>4</v>
      </c>
      <c r="E9" s="49">
        <f t="shared" si="3"/>
        <v>4</v>
      </c>
      <c r="F9" s="49">
        <f t="shared" si="3"/>
        <v>4</v>
      </c>
      <c r="G9" s="49">
        <f t="shared" si="3"/>
        <v>4</v>
      </c>
      <c r="H9" s="49">
        <f t="shared" si="3"/>
        <v>4</v>
      </c>
      <c r="I9" s="49">
        <f t="shared" si="3"/>
        <v>5</v>
      </c>
      <c r="J9" s="49">
        <f t="shared" si="3"/>
        <v>5</v>
      </c>
      <c r="K9" s="49">
        <f t="shared" si="3"/>
        <v>5</v>
      </c>
      <c r="L9" s="49">
        <f t="shared" si="3"/>
        <v>5</v>
      </c>
      <c r="M9" s="49">
        <f t="shared" si="3"/>
        <v>5</v>
      </c>
      <c r="N9" s="49">
        <f t="shared" si="3"/>
        <v>7</v>
      </c>
      <c r="O9" s="49">
        <f t="shared" si="3"/>
        <v>7</v>
      </c>
      <c r="P9" s="49">
        <f t="shared" si="3"/>
        <v>7</v>
      </c>
      <c r="Q9" s="49">
        <f t="shared" si="3"/>
        <v>7</v>
      </c>
      <c r="R9" s="49">
        <f t="shared" si="3"/>
        <v>7</v>
      </c>
      <c r="S9" s="49">
        <f t="shared" si="3"/>
        <v>7</v>
      </c>
      <c r="T9" s="49">
        <f t="shared" si="3"/>
        <v>7</v>
      </c>
      <c r="U9" s="49">
        <f t="shared" si="3"/>
        <v>7</v>
      </c>
      <c r="V9" s="49">
        <f t="shared" si="3"/>
        <v>7</v>
      </c>
      <c r="W9" s="49">
        <f t="shared" si="3"/>
        <v>7</v>
      </c>
      <c r="X9" s="88"/>
      <c r="Z9" s="602"/>
      <c r="AA9" s="198">
        <v>1000</v>
      </c>
      <c r="AB9" s="198">
        <v>1.5</v>
      </c>
      <c r="AC9" s="190"/>
      <c r="AD9" s="190"/>
      <c r="AE9" s="191"/>
      <c r="AF9" s="191"/>
    </row>
    <row r="10" spans="1:32" s="326" customFormat="1">
      <c r="A10" s="321" t="s">
        <v>252</v>
      </c>
      <c r="B10" s="322" t="s">
        <v>23</v>
      </c>
      <c r="C10" s="321" t="s">
        <v>16</v>
      </c>
      <c r="D10" s="323">
        <f t="shared" ref="D10:W10" si="4">D5/D7</f>
        <v>261.11111111111114</v>
      </c>
      <c r="E10" s="323">
        <f t="shared" si="4"/>
        <v>494.44444444444451</v>
      </c>
      <c r="F10" s="323">
        <f t="shared" si="4"/>
        <v>708.33333333333337</v>
      </c>
      <c r="G10" s="323">
        <f t="shared" si="4"/>
        <v>900.00000000000011</v>
      </c>
      <c r="H10" s="323">
        <f t="shared" si="4"/>
        <v>1097.2222222222224</v>
      </c>
      <c r="I10" s="323">
        <f t="shared" si="4"/>
        <v>975</v>
      </c>
      <c r="J10" s="323">
        <f t="shared" si="4"/>
        <v>1122.9166666666667</v>
      </c>
      <c r="K10" s="323">
        <f t="shared" si="4"/>
        <v>1258.3333333333335</v>
      </c>
      <c r="L10" s="323">
        <f t="shared" si="4"/>
        <v>1406.25</v>
      </c>
      <c r="M10" s="323">
        <f t="shared" si="4"/>
        <v>1562.5</v>
      </c>
      <c r="N10" s="323">
        <f t="shared" si="4"/>
        <v>1375</v>
      </c>
      <c r="O10" s="323">
        <f t="shared" si="4"/>
        <v>1500</v>
      </c>
      <c r="P10" s="323">
        <f t="shared" si="4"/>
        <v>1625</v>
      </c>
      <c r="Q10" s="323">
        <f t="shared" si="4"/>
        <v>1750</v>
      </c>
      <c r="R10" s="323">
        <f t="shared" si="4"/>
        <v>1875</v>
      </c>
      <c r="S10" s="323">
        <f t="shared" si="4"/>
        <v>2000</v>
      </c>
      <c r="T10" s="323">
        <f t="shared" si="4"/>
        <v>2125</v>
      </c>
      <c r="U10" s="323">
        <f t="shared" si="4"/>
        <v>2250</v>
      </c>
      <c r="V10" s="323">
        <f t="shared" si="4"/>
        <v>2375</v>
      </c>
      <c r="W10" s="323">
        <f t="shared" si="4"/>
        <v>2500</v>
      </c>
      <c r="X10" s="324"/>
      <c r="Y10" s="325"/>
      <c r="Z10" s="325"/>
      <c r="AA10" s="325"/>
    </row>
    <row r="11" spans="1:32">
      <c r="A11" s="158" t="s">
        <v>261</v>
      </c>
      <c r="B11" s="168" t="s">
        <v>262</v>
      </c>
      <c r="C11" s="26" t="s">
        <v>8</v>
      </c>
      <c r="D11" s="27">
        <v>5</v>
      </c>
      <c r="E11" s="27">
        <v>5</v>
      </c>
      <c r="F11" s="27">
        <v>5</v>
      </c>
      <c r="G11" s="27">
        <v>5</v>
      </c>
      <c r="H11" s="27">
        <v>5</v>
      </c>
      <c r="I11" s="27">
        <v>5</v>
      </c>
      <c r="J11" s="27">
        <v>5</v>
      </c>
      <c r="K11" s="27">
        <v>5</v>
      </c>
      <c r="L11" s="27">
        <v>5</v>
      </c>
      <c r="M11" s="27">
        <v>5</v>
      </c>
      <c r="N11" s="27">
        <v>5</v>
      </c>
      <c r="O11" s="27">
        <v>5</v>
      </c>
      <c r="P11" s="27">
        <v>5</v>
      </c>
      <c r="Q11" s="27">
        <v>5</v>
      </c>
      <c r="R11" s="27">
        <v>5</v>
      </c>
      <c r="S11" s="27">
        <v>5</v>
      </c>
      <c r="T11" s="27">
        <v>5</v>
      </c>
      <c r="U11" s="27">
        <v>5</v>
      </c>
      <c r="V11" s="27">
        <v>5</v>
      </c>
      <c r="W11" s="27">
        <v>5</v>
      </c>
      <c r="X11" s="85"/>
    </row>
    <row r="12" spans="1:32">
      <c r="A12" s="158" t="s">
        <v>265</v>
      </c>
      <c r="B12" s="168" t="s">
        <v>263</v>
      </c>
      <c r="C12" s="26" t="s">
        <v>8</v>
      </c>
      <c r="D12" s="27">
        <v>8</v>
      </c>
      <c r="E12" s="27">
        <v>8</v>
      </c>
      <c r="F12" s="27">
        <v>8</v>
      </c>
      <c r="G12" s="27">
        <v>8</v>
      </c>
      <c r="H12" s="27">
        <v>8</v>
      </c>
      <c r="I12" s="27">
        <v>8</v>
      </c>
      <c r="J12" s="27">
        <v>8</v>
      </c>
      <c r="K12" s="27">
        <v>8</v>
      </c>
      <c r="L12" s="27">
        <v>8</v>
      </c>
      <c r="M12" s="27">
        <v>8</v>
      </c>
      <c r="N12" s="27">
        <v>8</v>
      </c>
      <c r="O12" s="27">
        <v>8</v>
      </c>
      <c r="P12" s="27">
        <v>8</v>
      </c>
      <c r="Q12" s="27">
        <v>8</v>
      </c>
      <c r="R12" s="27">
        <v>8</v>
      </c>
      <c r="S12" s="27">
        <v>8</v>
      </c>
      <c r="T12" s="27">
        <v>8</v>
      </c>
      <c r="U12" s="27">
        <v>8</v>
      </c>
      <c r="V12" s="27">
        <v>8</v>
      </c>
      <c r="W12" s="27">
        <v>8</v>
      </c>
      <c r="X12" s="85"/>
    </row>
    <row r="13" spans="1:32">
      <c r="A13" s="158" t="s">
        <v>266</v>
      </c>
      <c r="B13" s="168" t="s">
        <v>264</v>
      </c>
      <c r="C13" s="26" t="s">
        <v>8</v>
      </c>
      <c r="D13" s="27">
        <v>12</v>
      </c>
      <c r="E13" s="27">
        <v>12</v>
      </c>
      <c r="F13" s="27">
        <v>12</v>
      </c>
      <c r="G13" s="27">
        <v>12</v>
      </c>
      <c r="H13" s="27">
        <v>12</v>
      </c>
      <c r="I13" s="27">
        <v>12</v>
      </c>
      <c r="J13" s="27">
        <v>12</v>
      </c>
      <c r="K13" s="27">
        <v>12</v>
      </c>
      <c r="L13" s="27">
        <v>12</v>
      </c>
      <c r="M13" s="27">
        <v>12</v>
      </c>
      <c r="N13" s="27">
        <v>12</v>
      </c>
      <c r="O13" s="27">
        <v>12</v>
      </c>
      <c r="P13" s="27">
        <v>12</v>
      </c>
      <c r="Q13" s="27">
        <v>12</v>
      </c>
      <c r="R13" s="27">
        <v>12</v>
      </c>
      <c r="S13" s="27">
        <v>12</v>
      </c>
      <c r="T13" s="27">
        <v>12</v>
      </c>
      <c r="U13" s="27">
        <v>12</v>
      </c>
      <c r="V13" s="27">
        <v>12</v>
      </c>
      <c r="W13" s="27">
        <v>12</v>
      </c>
      <c r="X13" s="85"/>
    </row>
    <row r="14" spans="1:32">
      <c r="A14" s="156"/>
      <c r="B14" s="601" t="s">
        <v>24</v>
      </c>
      <c r="C14" s="26" t="s">
        <v>25</v>
      </c>
      <c r="D14" s="28">
        <f t="shared" ref="D14:K14" si="5">D$10*D11*9.8*1000/3600/1000/0.72</f>
        <v>4.9361282578875194</v>
      </c>
      <c r="E14" s="28">
        <f t="shared" si="5"/>
        <v>9.3471364883401939</v>
      </c>
      <c r="F14" s="28">
        <f t="shared" si="5"/>
        <v>13.390560699588478</v>
      </c>
      <c r="G14" s="28">
        <f t="shared" si="5"/>
        <v>17.013888888888893</v>
      </c>
      <c r="H14" s="28">
        <f t="shared" si="5"/>
        <v>20.742241083676273</v>
      </c>
      <c r="I14" s="28">
        <f t="shared" si="5"/>
        <v>18.431712962962965</v>
      </c>
      <c r="J14" s="28">
        <f t="shared" si="5"/>
        <v>21.227977109053505</v>
      </c>
      <c r="K14" s="28">
        <f t="shared" si="5"/>
        <v>23.787937242798364</v>
      </c>
      <c r="L14" s="28">
        <f t="shared" ref="L14:Q14" si="6">L$10*L11*9.8*1000/3600/1000/0.72</f>
        <v>26.584201388888889</v>
      </c>
      <c r="M14" s="28">
        <f t="shared" si="6"/>
        <v>29.538001543209877</v>
      </c>
      <c r="N14" s="28">
        <f t="shared" si="6"/>
        <v>25.993441358024693</v>
      </c>
      <c r="O14" s="28">
        <f t="shared" si="6"/>
        <v>28.356481481481485</v>
      </c>
      <c r="P14" s="28">
        <f t="shared" si="6"/>
        <v>30.719521604938269</v>
      </c>
      <c r="Q14" s="28">
        <f t="shared" si="6"/>
        <v>33.082561728395063</v>
      </c>
      <c r="R14" s="28">
        <f t="shared" ref="R14:W14" si="7">R$10*R11*9.8*1000/3600/1000/0.72</f>
        <v>35.445601851851855</v>
      </c>
      <c r="S14" s="28">
        <f t="shared" si="7"/>
        <v>37.808641975308639</v>
      </c>
      <c r="T14" s="28">
        <f t="shared" si="7"/>
        <v>40.171682098765444</v>
      </c>
      <c r="U14" s="28">
        <f t="shared" si="7"/>
        <v>42.534722222222229</v>
      </c>
      <c r="V14" s="28">
        <f t="shared" si="7"/>
        <v>44.89776234567902</v>
      </c>
      <c r="W14" s="28">
        <f t="shared" si="7"/>
        <v>47.260802469135804</v>
      </c>
      <c r="X14" s="87"/>
    </row>
    <row r="15" spans="1:32">
      <c r="A15" s="156"/>
      <c r="B15" s="601"/>
      <c r="C15" s="26" t="s">
        <v>25</v>
      </c>
      <c r="D15" s="28">
        <f t="shared" ref="D15:K15" si="8">D$10*D12*9.8*1000/3600/1000/0.72</f>
        <v>7.89780521262003</v>
      </c>
      <c r="E15" s="28">
        <f t="shared" si="8"/>
        <v>14.955418381344311</v>
      </c>
      <c r="F15" s="28">
        <f t="shared" si="8"/>
        <v>21.424897119341569</v>
      </c>
      <c r="G15" s="28">
        <f t="shared" si="8"/>
        <v>27.222222222222229</v>
      </c>
      <c r="H15" s="28">
        <f t="shared" si="8"/>
        <v>33.187585733882045</v>
      </c>
      <c r="I15" s="28">
        <f t="shared" si="8"/>
        <v>29.490740740740737</v>
      </c>
      <c r="J15" s="28">
        <f t="shared" si="8"/>
        <v>33.964763374485607</v>
      </c>
      <c r="K15" s="28">
        <f t="shared" si="8"/>
        <v>38.060699588477377</v>
      </c>
      <c r="L15" s="28">
        <f t="shared" ref="L15:Q15" si="9">L$10*L12*9.8*1000/3600/1000/0.72</f>
        <v>42.534722222222229</v>
      </c>
      <c r="M15" s="28">
        <f t="shared" si="9"/>
        <v>47.260802469135804</v>
      </c>
      <c r="N15" s="28">
        <f t="shared" si="9"/>
        <v>41.589506172839513</v>
      </c>
      <c r="O15" s="28">
        <f t="shared" si="9"/>
        <v>45.370370370370381</v>
      </c>
      <c r="P15" s="28">
        <f t="shared" si="9"/>
        <v>49.151234567901241</v>
      </c>
      <c r="Q15" s="28">
        <f t="shared" si="9"/>
        <v>52.932098765432094</v>
      </c>
      <c r="R15" s="28">
        <f t="shared" ref="R15:W15" si="10">R$10*R12*9.8*1000/3600/1000/0.72</f>
        <v>56.712962962962969</v>
      </c>
      <c r="S15" s="28">
        <f t="shared" si="10"/>
        <v>60.493827160493829</v>
      </c>
      <c r="T15" s="28">
        <f t="shared" si="10"/>
        <v>64.274691358024697</v>
      </c>
      <c r="U15" s="28">
        <f t="shared" si="10"/>
        <v>68.055555555555557</v>
      </c>
      <c r="V15" s="28">
        <f t="shared" si="10"/>
        <v>71.836419753086417</v>
      </c>
      <c r="W15" s="28">
        <f t="shared" si="10"/>
        <v>75.617283950617278</v>
      </c>
      <c r="X15" s="87"/>
    </row>
    <row r="16" spans="1:32">
      <c r="A16" s="156"/>
      <c r="B16" s="601"/>
      <c r="C16" s="26" t="s">
        <v>25</v>
      </c>
      <c r="D16" s="28">
        <f t="shared" ref="D16:K16" si="11">D$10*D13*9.8*1000/3600/1000/0.72</f>
        <v>11.846707818930044</v>
      </c>
      <c r="E16" s="28">
        <f t="shared" si="11"/>
        <v>22.433127572016467</v>
      </c>
      <c r="F16" s="28">
        <f t="shared" si="11"/>
        <v>32.137345679012348</v>
      </c>
      <c r="G16" s="28">
        <f t="shared" si="11"/>
        <v>40.833333333333343</v>
      </c>
      <c r="H16" s="28">
        <f t="shared" si="11"/>
        <v>49.781378600823054</v>
      </c>
      <c r="I16" s="28">
        <f t="shared" si="11"/>
        <v>44.236111111111121</v>
      </c>
      <c r="J16" s="28">
        <f t="shared" si="11"/>
        <v>50.947145061728399</v>
      </c>
      <c r="K16" s="28">
        <f t="shared" si="11"/>
        <v>57.091049382716058</v>
      </c>
      <c r="L16" s="28">
        <f t="shared" ref="L16:Q16" si="12">L$10*L13*9.8*1000/3600/1000/0.72</f>
        <v>63.802083333333336</v>
      </c>
      <c r="M16" s="28">
        <f t="shared" si="12"/>
        <v>70.891203703703709</v>
      </c>
      <c r="N16" s="28">
        <f t="shared" si="12"/>
        <v>62.38425925925926</v>
      </c>
      <c r="O16" s="28">
        <f t="shared" si="12"/>
        <v>68.055555555555557</v>
      </c>
      <c r="P16" s="28">
        <f t="shared" si="12"/>
        <v>73.726851851851862</v>
      </c>
      <c r="Q16" s="28">
        <f t="shared" si="12"/>
        <v>79.398148148148152</v>
      </c>
      <c r="R16" s="28">
        <f t="shared" ref="R16:W16" si="13">R$10*R13*9.8*1000/3600/1000/0.72</f>
        <v>85.069444444444457</v>
      </c>
      <c r="S16" s="28">
        <f t="shared" si="13"/>
        <v>90.740740740740762</v>
      </c>
      <c r="T16" s="28">
        <f t="shared" si="13"/>
        <v>96.412037037037052</v>
      </c>
      <c r="U16" s="28">
        <f t="shared" si="13"/>
        <v>102.08333333333334</v>
      </c>
      <c r="V16" s="28">
        <f t="shared" si="13"/>
        <v>107.75462962962963</v>
      </c>
      <c r="W16" s="28">
        <f t="shared" si="13"/>
        <v>113.42592592592594</v>
      </c>
      <c r="X16" s="87" t="s">
        <v>152</v>
      </c>
      <c r="Y16" s="98">
        <f ca="1">SUMIF(X17:X206,'设备、材料清单'!J4,基础数据1!Y17:Y19)</f>
        <v>45</v>
      </c>
    </row>
    <row r="17" spans="1:27">
      <c r="A17" s="158" t="s">
        <v>270</v>
      </c>
      <c r="B17" s="166" t="s">
        <v>267</v>
      </c>
      <c r="C17" s="82" t="s">
        <v>25</v>
      </c>
      <c r="D17" s="327">
        <v>7.5</v>
      </c>
      <c r="E17" s="327">
        <v>9</v>
      </c>
      <c r="F17" s="327">
        <v>15</v>
      </c>
      <c r="G17" s="327">
        <v>22</v>
      </c>
      <c r="H17" s="327">
        <v>22</v>
      </c>
      <c r="I17" s="327">
        <v>22</v>
      </c>
      <c r="J17" s="327">
        <v>30</v>
      </c>
      <c r="K17" s="327">
        <v>37</v>
      </c>
      <c r="L17" s="327">
        <v>40</v>
      </c>
      <c r="M17" s="327">
        <v>30</v>
      </c>
      <c r="N17" s="327">
        <v>37</v>
      </c>
      <c r="O17" s="327">
        <v>30</v>
      </c>
      <c r="P17" s="327">
        <v>40</v>
      </c>
      <c r="Q17" s="327">
        <v>40</v>
      </c>
      <c r="R17" s="327">
        <v>60</v>
      </c>
      <c r="S17" s="327">
        <v>60</v>
      </c>
      <c r="T17" s="327">
        <v>60</v>
      </c>
      <c r="U17" s="327">
        <v>40</v>
      </c>
      <c r="V17" s="327">
        <v>60</v>
      </c>
      <c r="W17" s="327">
        <v>60</v>
      </c>
      <c r="X17" s="213">
        <v>5</v>
      </c>
      <c r="Y17" s="97">
        <f>VLOOKUP(A17,$A$1:$W$19,'输入&amp;输出'!C3/10000+3,FALSE)</f>
        <v>22</v>
      </c>
    </row>
    <row r="18" spans="1:27">
      <c r="A18" s="158" t="s">
        <v>271</v>
      </c>
      <c r="B18" s="166" t="s">
        <v>268</v>
      </c>
      <c r="C18" s="82" t="s">
        <v>25</v>
      </c>
      <c r="D18" s="327">
        <v>7.5</v>
      </c>
      <c r="E18" s="327">
        <v>15</v>
      </c>
      <c r="F18" s="327">
        <v>22</v>
      </c>
      <c r="G18" s="327">
        <v>37</v>
      </c>
      <c r="H18" s="327">
        <v>37</v>
      </c>
      <c r="I18" s="327">
        <v>30</v>
      </c>
      <c r="J18" s="327">
        <v>45</v>
      </c>
      <c r="K18" s="327">
        <v>45</v>
      </c>
      <c r="L18" s="327">
        <v>60</v>
      </c>
      <c r="M18" s="327">
        <v>60</v>
      </c>
      <c r="N18" s="327">
        <v>40</v>
      </c>
      <c r="O18" s="327">
        <v>60</v>
      </c>
      <c r="P18" s="327">
        <v>90</v>
      </c>
      <c r="Q18" s="327">
        <v>60</v>
      </c>
      <c r="R18" s="327">
        <v>90</v>
      </c>
      <c r="S18" s="327">
        <v>90</v>
      </c>
      <c r="T18" s="327">
        <v>90</v>
      </c>
      <c r="U18" s="327">
        <v>90</v>
      </c>
      <c r="V18" s="327">
        <v>80</v>
      </c>
      <c r="W18" s="327">
        <v>80</v>
      </c>
      <c r="X18" s="214">
        <v>8</v>
      </c>
      <c r="Y18" s="97">
        <f>VLOOKUP(A18,$A$1:$W$19,'输入&amp;输出'!C3/10000+3,FALSE)</f>
        <v>37</v>
      </c>
    </row>
    <row r="19" spans="1:27">
      <c r="A19" s="158" t="s">
        <v>272</v>
      </c>
      <c r="B19" s="166" t="s">
        <v>269</v>
      </c>
      <c r="C19" s="82" t="s">
        <v>25</v>
      </c>
      <c r="D19" s="327">
        <v>13.5</v>
      </c>
      <c r="E19" s="327">
        <v>22</v>
      </c>
      <c r="F19" s="327">
        <v>45</v>
      </c>
      <c r="G19" s="327">
        <v>37</v>
      </c>
      <c r="H19" s="327">
        <v>45</v>
      </c>
      <c r="I19" s="327">
        <v>45</v>
      </c>
      <c r="J19" s="327">
        <v>55</v>
      </c>
      <c r="K19" s="327">
        <v>62</v>
      </c>
      <c r="L19" s="327">
        <v>75</v>
      </c>
      <c r="M19" s="327">
        <v>90</v>
      </c>
      <c r="N19" s="327">
        <v>90</v>
      </c>
      <c r="O19" s="327">
        <v>90</v>
      </c>
      <c r="P19" s="327">
        <v>90</v>
      </c>
      <c r="Q19" s="327">
        <v>90</v>
      </c>
      <c r="R19" s="327">
        <v>90</v>
      </c>
      <c r="S19" s="327">
        <v>90</v>
      </c>
      <c r="T19" s="327">
        <v>125</v>
      </c>
      <c r="U19" s="327">
        <v>125</v>
      </c>
      <c r="V19" s="327">
        <v>110</v>
      </c>
      <c r="W19" s="327">
        <v>110</v>
      </c>
      <c r="X19" s="214">
        <v>12</v>
      </c>
      <c r="Y19" s="97">
        <f>VLOOKUP(A19,$A$1:$W$19,'输入&amp;输出'!C3/10000+3,FALSE)</f>
        <v>45</v>
      </c>
    </row>
    <row r="20" spans="1:27">
      <c r="A20" s="157"/>
      <c r="B20" s="143" t="s">
        <v>171</v>
      </c>
      <c r="C20" s="82" t="s">
        <v>96</v>
      </c>
      <c r="D20" s="114">
        <f>(D5/3600/2/0.5)^0.5</f>
        <v>0.46646821177074071</v>
      </c>
      <c r="E20" s="114">
        <f t="shared" ref="E20:W20" si="14">(E5/3600/2/0.5)^0.5</f>
        <v>0.64190111157174135</v>
      </c>
      <c r="F20" s="114">
        <f t="shared" si="14"/>
        <v>0.76829537144107396</v>
      </c>
      <c r="G20" s="114">
        <f t="shared" si="14"/>
        <v>0.86602540378443871</v>
      </c>
      <c r="H20" s="114">
        <f t="shared" si="14"/>
        <v>0.95621747100325039</v>
      </c>
      <c r="I20" s="114">
        <f t="shared" si="14"/>
        <v>1.0408329997330663</v>
      </c>
      <c r="J20" s="114">
        <f t="shared" si="14"/>
        <v>1.1169982923823945</v>
      </c>
      <c r="K20" s="114">
        <f t="shared" si="14"/>
        <v>1.1824331474329313</v>
      </c>
      <c r="L20" s="114">
        <f t="shared" si="14"/>
        <v>1.25</v>
      </c>
      <c r="M20" s="114">
        <f t="shared" si="14"/>
        <v>1.3176156917368247</v>
      </c>
      <c r="N20" s="114">
        <f t="shared" si="14"/>
        <v>1.3819269959814167</v>
      </c>
      <c r="O20" s="114">
        <f t="shared" si="14"/>
        <v>1.4433756729740645</v>
      </c>
      <c r="P20" s="114">
        <f t="shared" si="14"/>
        <v>1.5023130314433288</v>
      </c>
      <c r="Q20" s="114">
        <f t="shared" si="14"/>
        <v>1.5590239111558089</v>
      </c>
      <c r="R20" s="114">
        <f t="shared" si="14"/>
        <v>1.6137430609197569</v>
      </c>
      <c r="S20" s="114">
        <f t="shared" si="14"/>
        <v>1.6666666666666667</v>
      </c>
      <c r="T20" s="114">
        <f t="shared" si="14"/>
        <v>1.7179606773406919</v>
      </c>
      <c r="U20" s="114">
        <f t="shared" si="14"/>
        <v>1.7677669529663689</v>
      </c>
      <c r="V20" s="114">
        <f t="shared" si="14"/>
        <v>1.8162078931419474</v>
      </c>
      <c r="W20" s="114">
        <f t="shared" si="14"/>
        <v>1.8633899812498247</v>
      </c>
      <c r="X20" s="110"/>
      <c r="Y20" s="97"/>
    </row>
    <row r="21" spans="1:27">
      <c r="A21" s="158" t="s">
        <v>273</v>
      </c>
      <c r="B21" s="143" t="s">
        <v>172</v>
      </c>
      <c r="C21" s="82" t="s">
        <v>96</v>
      </c>
      <c r="D21" s="83">
        <v>0.5</v>
      </c>
      <c r="E21" s="83">
        <v>0.7</v>
      </c>
      <c r="F21" s="83">
        <v>0.8</v>
      </c>
      <c r="G21" s="83">
        <v>0.9</v>
      </c>
      <c r="H21" s="83">
        <v>1</v>
      </c>
      <c r="I21" s="83">
        <v>1</v>
      </c>
      <c r="J21" s="83">
        <v>1.1000000000000001</v>
      </c>
      <c r="K21" s="83">
        <v>1.2</v>
      </c>
      <c r="L21" s="83">
        <v>1.3</v>
      </c>
      <c r="M21" s="83">
        <v>1.3</v>
      </c>
      <c r="N21" s="83">
        <v>1.4</v>
      </c>
      <c r="O21" s="83">
        <v>1.5</v>
      </c>
      <c r="P21" s="83">
        <v>1.5</v>
      </c>
      <c r="Q21" s="83">
        <v>1.6</v>
      </c>
      <c r="R21" s="83">
        <v>1.6</v>
      </c>
      <c r="S21" s="83">
        <v>1.7</v>
      </c>
      <c r="T21" s="83">
        <v>1.7</v>
      </c>
      <c r="U21" s="83">
        <v>1.8</v>
      </c>
      <c r="V21" s="83">
        <v>1.8</v>
      </c>
      <c r="W21" s="83">
        <v>1.9</v>
      </c>
      <c r="X21" s="110"/>
      <c r="Y21" s="97"/>
    </row>
    <row r="22" spans="1:27" s="113" customFormat="1">
      <c r="A22" s="158" t="s">
        <v>178</v>
      </c>
      <c r="B22" s="160" t="s">
        <v>166</v>
      </c>
      <c r="C22" s="160" t="s">
        <v>178</v>
      </c>
      <c r="D22" s="170">
        <v>1</v>
      </c>
      <c r="E22" s="170">
        <v>1</v>
      </c>
      <c r="F22" s="170">
        <v>2</v>
      </c>
      <c r="G22" s="170">
        <v>2</v>
      </c>
      <c r="H22" s="170">
        <v>2</v>
      </c>
      <c r="I22" s="170">
        <v>3</v>
      </c>
      <c r="J22" s="170">
        <v>3</v>
      </c>
      <c r="K22" s="170">
        <v>3</v>
      </c>
      <c r="L22" s="170">
        <v>3</v>
      </c>
      <c r="M22" s="170">
        <v>3</v>
      </c>
      <c r="N22" s="170">
        <v>5</v>
      </c>
      <c r="O22" s="170">
        <v>5</v>
      </c>
      <c r="P22" s="170">
        <v>5</v>
      </c>
      <c r="Q22" s="170">
        <v>5</v>
      </c>
      <c r="R22" s="170">
        <v>5</v>
      </c>
      <c r="S22" s="170">
        <v>5</v>
      </c>
      <c r="T22" s="170">
        <v>5</v>
      </c>
      <c r="U22" s="170">
        <v>5</v>
      </c>
      <c r="V22" s="170">
        <v>5</v>
      </c>
      <c r="W22" s="170">
        <v>5</v>
      </c>
      <c r="X22" s="111"/>
      <c r="Y22" s="112"/>
      <c r="Z22" s="112"/>
      <c r="AA22" s="112"/>
    </row>
    <row r="23" spans="1:27" s="113" customFormat="1">
      <c r="A23" s="167" t="s">
        <v>274</v>
      </c>
      <c r="B23" s="160" t="s">
        <v>176</v>
      </c>
      <c r="C23" s="160" t="s">
        <v>177</v>
      </c>
      <c r="D23" s="170" t="s">
        <v>181</v>
      </c>
      <c r="E23" s="170" t="s">
        <v>181</v>
      </c>
      <c r="F23" s="170" t="s">
        <v>182</v>
      </c>
      <c r="G23" s="170" t="s">
        <v>182</v>
      </c>
      <c r="H23" s="170" t="s">
        <v>182</v>
      </c>
      <c r="I23" s="170" t="s">
        <v>183</v>
      </c>
      <c r="J23" s="170" t="s">
        <v>183</v>
      </c>
      <c r="K23" s="170" t="s">
        <v>183</v>
      </c>
      <c r="L23" s="170" t="s">
        <v>183</v>
      </c>
      <c r="M23" s="170" t="s">
        <v>183</v>
      </c>
      <c r="N23" s="170" t="s">
        <v>184</v>
      </c>
      <c r="O23" s="170" t="s">
        <v>184</v>
      </c>
      <c r="P23" s="170" t="s">
        <v>184</v>
      </c>
      <c r="Q23" s="170" t="s">
        <v>184</v>
      </c>
      <c r="R23" s="170" t="s">
        <v>184</v>
      </c>
      <c r="S23" s="170" t="s">
        <v>184</v>
      </c>
      <c r="T23" s="170" t="s">
        <v>184</v>
      </c>
      <c r="U23" s="170" t="s">
        <v>184</v>
      </c>
      <c r="V23" s="170" t="s">
        <v>184</v>
      </c>
      <c r="W23" s="170" t="s">
        <v>184</v>
      </c>
      <c r="X23" s="111"/>
      <c r="Y23" s="112"/>
      <c r="Z23" s="112"/>
      <c r="AA23" s="112"/>
    </row>
    <row r="24" spans="1:27">
      <c r="A24" s="156"/>
      <c r="B24" s="144" t="s">
        <v>26</v>
      </c>
      <c r="C24" s="26" t="s">
        <v>27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85"/>
    </row>
    <row r="25" spans="1:27">
      <c r="A25" s="156"/>
      <c r="B25" s="144" t="s">
        <v>28</v>
      </c>
      <c r="C25" s="26" t="s">
        <v>27</v>
      </c>
      <c r="D25" s="29">
        <f>(D10/3600/1.2/0.785)^0.5</f>
        <v>0.27748274022476466</v>
      </c>
      <c r="E25" s="29">
        <f>(E10/3600/1.2/0.785)^0.5</f>
        <v>0.38184055182690491</v>
      </c>
      <c r="F25" s="29">
        <f>(F10/3600/1.1/0.785)^0.5</f>
        <v>0.47734944119479789</v>
      </c>
      <c r="G25" s="29">
        <f>(G10/3600/1.1/0.785)^0.5</f>
        <v>0.53807006774178823</v>
      </c>
      <c r="H25" s="29">
        <f>(H10/3600/1.1/0.785)^0.5</f>
        <v>0.59410728270814894</v>
      </c>
      <c r="I25" s="29">
        <f t="shared" ref="I25:W25" si="15">(I10/3600/1.2/0.785)^0.5</f>
        <v>0.53619851400954466</v>
      </c>
      <c r="J25" s="29">
        <f t="shared" si="15"/>
        <v>0.57543604466830134</v>
      </c>
      <c r="K25" s="29">
        <f t="shared" si="15"/>
        <v>0.60914565231095485</v>
      </c>
      <c r="L25" s="29">
        <f t="shared" si="15"/>
        <v>0.64395358591034657</v>
      </c>
      <c r="M25" s="29">
        <f t="shared" si="15"/>
        <v>0.67878667963653605</v>
      </c>
      <c r="N25" s="29">
        <f t="shared" si="15"/>
        <v>0.63675834794508523</v>
      </c>
      <c r="O25" s="29">
        <f t="shared" si="15"/>
        <v>0.66507240372301846</v>
      </c>
      <c r="P25" s="29">
        <f t="shared" si="15"/>
        <v>0.69222930500671032</v>
      </c>
      <c r="Q25" s="29">
        <f t="shared" si="15"/>
        <v>0.71836029903261822</v>
      </c>
      <c r="R25" s="29">
        <f t="shared" si="15"/>
        <v>0.74357355234192679</v>
      </c>
      <c r="S25" s="29">
        <f t="shared" si="15"/>
        <v>0.76795946264015236</v>
      </c>
      <c r="T25" s="29">
        <f t="shared" si="15"/>
        <v>0.79159449516448199</v>
      </c>
      <c r="U25" s="29">
        <f t="shared" si="15"/>
        <v>0.81454401556384326</v>
      </c>
      <c r="V25" s="29">
        <f t="shared" si="15"/>
        <v>0.83686442259605576</v>
      </c>
      <c r="W25" s="29">
        <f t="shared" si="15"/>
        <v>0.85860478121379535</v>
      </c>
      <c r="X25" s="86"/>
    </row>
    <row r="26" spans="1:27">
      <c r="A26" s="167" t="s">
        <v>275</v>
      </c>
      <c r="B26" s="144" t="s">
        <v>160</v>
      </c>
      <c r="C26" s="26" t="s">
        <v>27</v>
      </c>
      <c r="D26" s="30">
        <v>0.3</v>
      </c>
      <c r="E26" s="30">
        <v>0.4</v>
      </c>
      <c r="F26" s="30">
        <v>0.45</v>
      </c>
      <c r="G26" s="30">
        <v>0.6</v>
      </c>
      <c r="H26" s="30">
        <v>0.6</v>
      </c>
      <c r="I26" s="30">
        <v>0.6</v>
      </c>
      <c r="J26" s="30">
        <v>0.6</v>
      </c>
      <c r="K26" s="30">
        <v>0.6</v>
      </c>
      <c r="L26" s="30">
        <v>0.7</v>
      </c>
      <c r="M26" s="30">
        <v>0.7</v>
      </c>
      <c r="N26" s="30">
        <v>0.7</v>
      </c>
      <c r="O26" s="30">
        <v>0.7</v>
      </c>
      <c r="P26" s="30">
        <v>0.7</v>
      </c>
      <c r="Q26" s="30">
        <v>0.8</v>
      </c>
      <c r="R26" s="30">
        <v>0.8</v>
      </c>
      <c r="S26" s="30">
        <v>0.8</v>
      </c>
      <c r="T26" s="30">
        <v>0.8</v>
      </c>
      <c r="U26" s="30">
        <v>0.8</v>
      </c>
      <c r="V26" s="30">
        <v>0.9</v>
      </c>
      <c r="W26" s="30">
        <v>0.9</v>
      </c>
      <c r="X26" s="85"/>
      <c r="Y26" s="92" t="s">
        <v>29</v>
      </c>
    </row>
    <row r="27" spans="1:27">
      <c r="A27" s="156"/>
      <c r="B27" s="145" t="s">
        <v>167</v>
      </c>
      <c r="C27" s="32" t="s">
        <v>30</v>
      </c>
      <c r="D27" s="33">
        <f t="shared" ref="D27:W27" si="16">D10/6</f>
        <v>43.518518518518526</v>
      </c>
      <c r="E27" s="33">
        <f t="shared" si="16"/>
        <v>82.407407407407419</v>
      </c>
      <c r="F27" s="33">
        <f t="shared" si="16"/>
        <v>118.05555555555556</v>
      </c>
      <c r="G27" s="33">
        <f t="shared" si="16"/>
        <v>150.00000000000003</v>
      </c>
      <c r="H27" s="33">
        <f t="shared" si="16"/>
        <v>182.87037037037041</v>
      </c>
      <c r="I27" s="33">
        <f t="shared" si="16"/>
        <v>162.5</v>
      </c>
      <c r="J27" s="33">
        <f t="shared" si="16"/>
        <v>187.1527777777778</v>
      </c>
      <c r="K27" s="33">
        <f t="shared" si="16"/>
        <v>209.72222222222226</v>
      </c>
      <c r="L27" s="33">
        <f t="shared" si="16"/>
        <v>234.375</v>
      </c>
      <c r="M27" s="33">
        <f t="shared" si="16"/>
        <v>260.41666666666669</v>
      </c>
      <c r="N27" s="33">
        <f t="shared" si="16"/>
        <v>229.16666666666666</v>
      </c>
      <c r="O27" s="33">
        <f t="shared" si="16"/>
        <v>250</v>
      </c>
      <c r="P27" s="33">
        <f t="shared" si="16"/>
        <v>270.83333333333331</v>
      </c>
      <c r="Q27" s="33">
        <f t="shared" si="16"/>
        <v>291.66666666666669</v>
      </c>
      <c r="R27" s="33">
        <f t="shared" si="16"/>
        <v>312.5</v>
      </c>
      <c r="S27" s="33">
        <f t="shared" si="16"/>
        <v>333.33333333333331</v>
      </c>
      <c r="T27" s="33">
        <f t="shared" si="16"/>
        <v>354.16666666666669</v>
      </c>
      <c r="U27" s="33">
        <f t="shared" si="16"/>
        <v>375</v>
      </c>
      <c r="V27" s="33">
        <f t="shared" si="16"/>
        <v>395.83333333333331</v>
      </c>
      <c r="W27" s="33">
        <f t="shared" si="16"/>
        <v>416.66666666666669</v>
      </c>
      <c r="X27" s="89"/>
    </row>
    <row r="28" spans="1:27">
      <c r="A28" s="161" t="s">
        <v>254</v>
      </c>
      <c r="B28" s="146" t="s">
        <v>31</v>
      </c>
      <c r="C28" s="32" t="s">
        <v>32</v>
      </c>
      <c r="D28" s="34">
        <v>1.2</v>
      </c>
      <c r="E28" s="34">
        <v>1.2</v>
      </c>
      <c r="F28" s="34">
        <v>1.2</v>
      </c>
      <c r="G28" s="34">
        <v>1.2</v>
      </c>
      <c r="H28" s="34">
        <v>1.2</v>
      </c>
      <c r="I28" s="34">
        <v>1.2</v>
      </c>
      <c r="J28" s="34">
        <v>1.2</v>
      </c>
      <c r="K28" s="34">
        <v>1.2</v>
      </c>
      <c r="L28" s="34">
        <v>1.2</v>
      </c>
      <c r="M28" s="34">
        <v>1.2</v>
      </c>
      <c r="N28" s="34">
        <v>1.2</v>
      </c>
      <c r="O28" s="34">
        <v>1.2</v>
      </c>
      <c r="P28" s="34">
        <v>1.2</v>
      </c>
      <c r="Q28" s="34">
        <v>1.2</v>
      </c>
      <c r="R28" s="34">
        <v>1.2</v>
      </c>
      <c r="S28" s="34">
        <v>1.2</v>
      </c>
      <c r="T28" s="34">
        <v>1.2</v>
      </c>
      <c r="U28" s="34">
        <v>1.2</v>
      </c>
      <c r="V28" s="34">
        <v>1.2</v>
      </c>
      <c r="W28" s="34">
        <v>1.2</v>
      </c>
      <c r="X28" s="85"/>
      <c r="Y28" s="93" t="s">
        <v>145</v>
      </c>
      <c r="Z28" s="78">
        <v>1.2</v>
      </c>
    </row>
    <row r="29" spans="1:27" s="346" customFormat="1">
      <c r="A29" s="339" t="s">
        <v>255</v>
      </c>
      <c r="B29" s="340" t="s">
        <v>33</v>
      </c>
      <c r="C29" s="341" t="s">
        <v>34</v>
      </c>
      <c r="D29" s="342">
        <v>1.6</v>
      </c>
      <c r="E29" s="342">
        <v>1.8</v>
      </c>
      <c r="F29" s="342">
        <v>2</v>
      </c>
      <c r="G29" s="342">
        <v>2</v>
      </c>
      <c r="H29" s="342">
        <v>2</v>
      </c>
      <c r="I29" s="342">
        <v>2</v>
      </c>
      <c r="J29" s="342">
        <v>2</v>
      </c>
      <c r="K29" s="342">
        <v>2.5</v>
      </c>
      <c r="L29" s="342">
        <v>2.5</v>
      </c>
      <c r="M29" s="342">
        <v>2.8</v>
      </c>
      <c r="N29" s="342">
        <v>2.8</v>
      </c>
      <c r="O29" s="342">
        <v>2.8</v>
      </c>
      <c r="P29" s="342">
        <v>2.8</v>
      </c>
      <c r="Q29" s="342">
        <v>2.8</v>
      </c>
      <c r="R29" s="342">
        <v>2.8</v>
      </c>
      <c r="S29" s="342">
        <v>3</v>
      </c>
      <c r="T29" s="342">
        <v>3</v>
      </c>
      <c r="U29" s="342">
        <v>3</v>
      </c>
      <c r="V29" s="342">
        <v>3</v>
      </c>
      <c r="W29" s="342">
        <v>3</v>
      </c>
      <c r="X29" s="343"/>
      <c r="Y29" s="344"/>
      <c r="Z29" s="345"/>
      <c r="AA29" s="345"/>
    </row>
    <row r="30" spans="1:27">
      <c r="A30" s="161" t="s">
        <v>256</v>
      </c>
      <c r="B30" s="146" t="s">
        <v>35</v>
      </c>
      <c r="C30" s="32" t="s">
        <v>36</v>
      </c>
      <c r="D30" s="34">
        <v>0.3</v>
      </c>
      <c r="E30" s="34">
        <v>0.3</v>
      </c>
      <c r="F30" s="34">
        <v>0.3</v>
      </c>
      <c r="G30" s="34">
        <v>0.3</v>
      </c>
      <c r="H30" s="34">
        <v>0.3</v>
      </c>
      <c r="I30" s="34">
        <v>0.3</v>
      </c>
      <c r="J30" s="34">
        <v>0.3</v>
      </c>
      <c r="K30" s="34">
        <v>0.3</v>
      </c>
      <c r="L30" s="34">
        <v>0.3</v>
      </c>
      <c r="M30" s="34">
        <v>0.3</v>
      </c>
      <c r="N30" s="34">
        <v>0.3</v>
      </c>
      <c r="O30" s="34">
        <v>0.3</v>
      </c>
      <c r="P30" s="34">
        <v>0.3</v>
      </c>
      <c r="Q30" s="34">
        <v>0.3</v>
      </c>
      <c r="R30" s="34">
        <v>0.3</v>
      </c>
      <c r="S30" s="34">
        <v>0.3</v>
      </c>
      <c r="T30" s="34">
        <v>0.3</v>
      </c>
      <c r="U30" s="34">
        <v>0.3</v>
      </c>
      <c r="V30" s="34">
        <v>0.3</v>
      </c>
      <c r="W30" s="34">
        <v>0.3</v>
      </c>
      <c r="X30" s="85"/>
      <c r="Y30" s="94"/>
    </row>
    <row r="31" spans="1:27">
      <c r="B31" s="145" t="s">
        <v>97</v>
      </c>
      <c r="C31" s="44" t="s">
        <v>257</v>
      </c>
      <c r="D31" s="34">
        <f>-'输入&amp;输出'!$C$4</f>
        <v>7</v>
      </c>
      <c r="E31" s="34">
        <f>-'输入&amp;输出'!$C$4</f>
        <v>7</v>
      </c>
      <c r="F31" s="34">
        <f>-'输入&amp;输出'!$C$4</f>
        <v>7</v>
      </c>
      <c r="G31" s="34">
        <f>-'输入&amp;输出'!$C$4</f>
        <v>7</v>
      </c>
      <c r="H31" s="34">
        <f>-'输入&amp;输出'!$C$4</f>
        <v>7</v>
      </c>
      <c r="I31" s="34">
        <f>-'输入&amp;输出'!$C$4</f>
        <v>7</v>
      </c>
      <c r="J31" s="34">
        <f>-'输入&amp;输出'!$C$4</f>
        <v>7</v>
      </c>
      <c r="K31" s="34">
        <f>-'输入&amp;输出'!$C$4</f>
        <v>7</v>
      </c>
      <c r="L31" s="34">
        <f>-'输入&amp;输出'!$C$4</f>
        <v>7</v>
      </c>
      <c r="M31" s="34">
        <f>-'输入&amp;输出'!$C$4</f>
        <v>7</v>
      </c>
      <c r="N31" s="34">
        <f>-'输入&amp;输出'!$C$4</f>
        <v>7</v>
      </c>
      <c r="O31" s="34">
        <f>-'输入&amp;输出'!$C$4</f>
        <v>7</v>
      </c>
      <c r="P31" s="34">
        <f>-'输入&amp;输出'!$C$4</f>
        <v>7</v>
      </c>
      <c r="Q31" s="34">
        <f>-'输入&amp;输出'!$C$4</f>
        <v>7</v>
      </c>
      <c r="R31" s="34">
        <f>-'输入&amp;输出'!$C$4</f>
        <v>7</v>
      </c>
      <c r="S31" s="34">
        <f>-'输入&amp;输出'!$C$4</f>
        <v>7</v>
      </c>
      <c r="T31" s="34">
        <f>-'输入&amp;输出'!$C$4</f>
        <v>7</v>
      </c>
      <c r="U31" s="34">
        <f>-'输入&amp;输出'!$C$4</f>
        <v>7</v>
      </c>
      <c r="V31" s="34">
        <f>-'输入&amp;输出'!$C$4</f>
        <v>7</v>
      </c>
      <c r="W31" s="34">
        <f>-'输入&amp;输出'!$C$4</f>
        <v>7</v>
      </c>
      <c r="X31" s="85"/>
      <c r="Y31" s="94"/>
    </row>
    <row r="32" spans="1:27">
      <c r="A32" s="161" t="s">
        <v>257</v>
      </c>
      <c r="B32" s="163" t="s">
        <v>258</v>
      </c>
      <c r="C32" s="44" t="s">
        <v>257</v>
      </c>
      <c r="D32" s="164" t="s">
        <v>259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85"/>
      <c r="Y32" s="94"/>
    </row>
    <row r="33" spans="1:27">
      <c r="A33" s="161" t="s">
        <v>236</v>
      </c>
      <c r="B33" s="147" t="s">
        <v>94</v>
      </c>
      <c r="C33" s="32" t="s">
        <v>37</v>
      </c>
      <c r="D33" s="35">
        <f t="shared" ref="D33:W33" si="17">SUM(D28:D31)</f>
        <v>10.1</v>
      </c>
      <c r="E33" s="35">
        <f t="shared" si="17"/>
        <v>10.3</v>
      </c>
      <c r="F33" s="35">
        <f t="shared" si="17"/>
        <v>10.5</v>
      </c>
      <c r="G33" s="35">
        <f t="shared" si="17"/>
        <v>10.5</v>
      </c>
      <c r="H33" s="35">
        <f t="shared" si="17"/>
        <v>10.5</v>
      </c>
      <c r="I33" s="35">
        <f t="shared" si="17"/>
        <v>10.5</v>
      </c>
      <c r="J33" s="35">
        <f t="shared" si="17"/>
        <v>10.5</v>
      </c>
      <c r="K33" s="35">
        <f t="shared" si="17"/>
        <v>11</v>
      </c>
      <c r="L33" s="35">
        <f t="shared" si="17"/>
        <v>11</v>
      </c>
      <c r="M33" s="35">
        <f t="shared" si="17"/>
        <v>11.3</v>
      </c>
      <c r="N33" s="35">
        <f t="shared" si="17"/>
        <v>11.3</v>
      </c>
      <c r="O33" s="35">
        <f t="shared" si="17"/>
        <v>11.3</v>
      </c>
      <c r="P33" s="35">
        <f t="shared" si="17"/>
        <v>11.3</v>
      </c>
      <c r="Q33" s="35">
        <f t="shared" si="17"/>
        <v>11.3</v>
      </c>
      <c r="R33" s="35">
        <f t="shared" si="17"/>
        <v>11.3</v>
      </c>
      <c r="S33" s="35">
        <f t="shared" si="17"/>
        <v>11.5</v>
      </c>
      <c r="T33" s="35">
        <f t="shared" si="17"/>
        <v>11.5</v>
      </c>
      <c r="U33" s="35">
        <f t="shared" si="17"/>
        <v>11.5</v>
      </c>
      <c r="V33" s="35">
        <f t="shared" si="17"/>
        <v>11.5</v>
      </c>
      <c r="W33" s="35">
        <f t="shared" si="17"/>
        <v>11.5</v>
      </c>
      <c r="X33" s="95"/>
    </row>
    <row r="34" spans="1:27">
      <c r="A34" s="156"/>
      <c r="B34" s="147" t="s">
        <v>95</v>
      </c>
      <c r="C34" s="44" t="s">
        <v>96</v>
      </c>
      <c r="D34" s="35">
        <f t="shared" ref="D34:W34" si="18">D28+D29+D31</f>
        <v>9.8000000000000007</v>
      </c>
      <c r="E34" s="35">
        <f t="shared" si="18"/>
        <v>10</v>
      </c>
      <c r="F34" s="35">
        <f t="shared" si="18"/>
        <v>10.199999999999999</v>
      </c>
      <c r="G34" s="35">
        <f t="shared" si="18"/>
        <v>10.199999999999999</v>
      </c>
      <c r="H34" s="35">
        <f t="shared" si="18"/>
        <v>10.199999999999999</v>
      </c>
      <c r="I34" s="35">
        <f t="shared" si="18"/>
        <v>10.199999999999999</v>
      </c>
      <c r="J34" s="35">
        <f t="shared" si="18"/>
        <v>10.199999999999999</v>
      </c>
      <c r="K34" s="35">
        <f t="shared" si="18"/>
        <v>10.7</v>
      </c>
      <c r="L34" s="35">
        <f t="shared" si="18"/>
        <v>10.7</v>
      </c>
      <c r="M34" s="35">
        <f t="shared" si="18"/>
        <v>11</v>
      </c>
      <c r="N34" s="35">
        <f t="shared" si="18"/>
        <v>11</v>
      </c>
      <c r="O34" s="35">
        <f t="shared" si="18"/>
        <v>11</v>
      </c>
      <c r="P34" s="35">
        <f t="shared" si="18"/>
        <v>11</v>
      </c>
      <c r="Q34" s="35">
        <f t="shared" si="18"/>
        <v>11</v>
      </c>
      <c r="R34" s="35">
        <f t="shared" si="18"/>
        <v>11</v>
      </c>
      <c r="S34" s="35">
        <f t="shared" si="18"/>
        <v>11.2</v>
      </c>
      <c r="T34" s="35">
        <f t="shared" si="18"/>
        <v>11.2</v>
      </c>
      <c r="U34" s="35">
        <f t="shared" si="18"/>
        <v>11.2</v>
      </c>
      <c r="V34" s="35">
        <f t="shared" si="18"/>
        <v>11.2</v>
      </c>
      <c r="W34" s="35">
        <f t="shared" si="18"/>
        <v>11.2</v>
      </c>
      <c r="X34" s="95"/>
    </row>
    <row r="35" spans="1:27">
      <c r="A35" s="161" t="s">
        <v>291</v>
      </c>
      <c r="B35" s="145" t="s">
        <v>157</v>
      </c>
      <c r="C35" s="44" t="s">
        <v>96</v>
      </c>
      <c r="D35" s="35">
        <f>D33</f>
        <v>10.1</v>
      </c>
      <c r="E35" s="35">
        <f t="shared" ref="E35:W35" si="19">E33</f>
        <v>10.3</v>
      </c>
      <c r="F35" s="35">
        <f t="shared" si="19"/>
        <v>10.5</v>
      </c>
      <c r="G35" s="35">
        <f t="shared" si="19"/>
        <v>10.5</v>
      </c>
      <c r="H35" s="35">
        <f t="shared" si="19"/>
        <v>10.5</v>
      </c>
      <c r="I35" s="35">
        <f t="shared" si="19"/>
        <v>10.5</v>
      </c>
      <c r="J35" s="35">
        <f t="shared" si="19"/>
        <v>10.5</v>
      </c>
      <c r="K35" s="35">
        <f t="shared" si="19"/>
        <v>11</v>
      </c>
      <c r="L35" s="35">
        <f t="shared" si="19"/>
        <v>11</v>
      </c>
      <c r="M35" s="35">
        <f t="shared" si="19"/>
        <v>11.3</v>
      </c>
      <c r="N35" s="35">
        <f t="shared" si="19"/>
        <v>11.3</v>
      </c>
      <c r="O35" s="35">
        <f t="shared" si="19"/>
        <v>11.3</v>
      </c>
      <c r="P35" s="35">
        <f t="shared" si="19"/>
        <v>11.3</v>
      </c>
      <c r="Q35" s="35">
        <f t="shared" si="19"/>
        <v>11.3</v>
      </c>
      <c r="R35" s="35">
        <f t="shared" si="19"/>
        <v>11.3</v>
      </c>
      <c r="S35" s="35">
        <f t="shared" si="19"/>
        <v>11.5</v>
      </c>
      <c r="T35" s="35">
        <f t="shared" si="19"/>
        <v>11.5</v>
      </c>
      <c r="U35" s="35">
        <f t="shared" si="19"/>
        <v>11.5</v>
      </c>
      <c r="V35" s="35">
        <f t="shared" si="19"/>
        <v>11.5</v>
      </c>
      <c r="W35" s="35">
        <f t="shared" si="19"/>
        <v>11.5</v>
      </c>
      <c r="X35" s="95"/>
    </row>
    <row r="36" spans="1:27">
      <c r="A36" s="156"/>
      <c r="B36" s="146" t="s">
        <v>38</v>
      </c>
      <c r="C36" s="32" t="s">
        <v>39</v>
      </c>
      <c r="D36" s="33">
        <f t="shared" ref="D36:W36" si="20">D27/D28</f>
        <v>36.265432098765437</v>
      </c>
      <c r="E36" s="33">
        <f t="shared" si="20"/>
        <v>68.672839506172849</v>
      </c>
      <c r="F36" s="33">
        <f t="shared" si="20"/>
        <v>98.379629629629633</v>
      </c>
      <c r="G36" s="33">
        <f t="shared" si="20"/>
        <v>125.00000000000003</v>
      </c>
      <c r="H36" s="33">
        <f t="shared" si="20"/>
        <v>152.391975308642</v>
      </c>
      <c r="I36" s="33">
        <f t="shared" si="20"/>
        <v>135.41666666666669</v>
      </c>
      <c r="J36" s="33">
        <f t="shared" si="20"/>
        <v>155.96064814814818</v>
      </c>
      <c r="K36" s="33">
        <f t="shared" si="20"/>
        <v>174.76851851851856</v>
      </c>
      <c r="L36" s="33">
        <f t="shared" si="20"/>
        <v>195.3125</v>
      </c>
      <c r="M36" s="33">
        <f t="shared" si="20"/>
        <v>217.01388888888891</v>
      </c>
      <c r="N36" s="33">
        <f t="shared" si="20"/>
        <v>190.97222222222223</v>
      </c>
      <c r="O36" s="33">
        <f t="shared" si="20"/>
        <v>208.33333333333334</v>
      </c>
      <c r="P36" s="33">
        <f t="shared" si="20"/>
        <v>225.69444444444443</v>
      </c>
      <c r="Q36" s="33">
        <f t="shared" si="20"/>
        <v>243.05555555555557</v>
      </c>
      <c r="R36" s="33">
        <f t="shared" si="20"/>
        <v>260.41666666666669</v>
      </c>
      <c r="S36" s="33">
        <f t="shared" si="20"/>
        <v>277.77777777777777</v>
      </c>
      <c r="T36" s="33">
        <f t="shared" si="20"/>
        <v>295.13888888888891</v>
      </c>
      <c r="U36" s="33">
        <f t="shared" si="20"/>
        <v>312.5</v>
      </c>
      <c r="V36" s="33">
        <f t="shared" si="20"/>
        <v>329.86111111111109</v>
      </c>
      <c r="W36" s="33">
        <f t="shared" si="20"/>
        <v>347.22222222222223</v>
      </c>
      <c r="X36" s="89"/>
    </row>
    <row r="37" spans="1:27" s="303" customFormat="1">
      <c r="A37" s="301"/>
      <c r="B37" s="148" t="s">
        <v>185</v>
      </c>
      <c r="C37" s="116"/>
      <c r="D37" s="117">
        <v>1.8</v>
      </c>
      <c r="E37" s="117">
        <v>1.8</v>
      </c>
      <c r="F37" s="117">
        <v>1.8</v>
      </c>
      <c r="G37" s="117">
        <v>1.8</v>
      </c>
      <c r="H37" s="117">
        <v>1.8</v>
      </c>
      <c r="I37" s="117">
        <v>1.8</v>
      </c>
      <c r="J37" s="117">
        <v>1.8</v>
      </c>
      <c r="K37" s="117">
        <v>1.8</v>
      </c>
      <c r="L37" s="117">
        <v>1.8</v>
      </c>
      <c r="M37" s="117">
        <v>1.8</v>
      </c>
      <c r="N37" s="117">
        <v>1.8</v>
      </c>
      <c r="O37" s="117">
        <v>1.8</v>
      </c>
      <c r="P37" s="117">
        <v>1.8</v>
      </c>
      <c r="Q37" s="117">
        <v>1.8</v>
      </c>
      <c r="R37" s="117">
        <v>1.8</v>
      </c>
      <c r="S37" s="117">
        <v>1.8</v>
      </c>
      <c r="T37" s="117">
        <v>1.8</v>
      </c>
      <c r="U37" s="117">
        <v>1.8</v>
      </c>
      <c r="V37" s="117">
        <v>1.8</v>
      </c>
      <c r="W37" s="117">
        <v>1.8</v>
      </c>
      <c r="X37" s="302"/>
      <c r="Y37" s="98"/>
      <c r="Z37" s="98"/>
      <c r="AA37" s="98"/>
    </row>
    <row r="38" spans="1:27" s="303" customFormat="1">
      <c r="A38" s="304" t="s">
        <v>239</v>
      </c>
      <c r="B38" s="148" t="s">
        <v>186</v>
      </c>
      <c r="C38" s="116" t="s">
        <v>27</v>
      </c>
      <c r="D38" s="117">
        <f>INT((D36/D37)^0.5)+IF((D36/D37)^0.5-INT((D36/D37)^0.5)&lt;=0.5,0.5,1)</f>
        <v>4.5</v>
      </c>
      <c r="E38" s="117">
        <f t="shared" ref="E38:W38" si="21">INT((E36/E37)^0.5)+IF((E36/E37)^0.5-INT((E36/E37)^0.5)&lt;=0.5,0.5,1)</f>
        <v>6.5</v>
      </c>
      <c r="F38" s="117">
        <f t="shared" si="21"/>
        <v>7.5</v>
      </c>
      <c r="G38" s="117">
        <f t="shared" si="21"/>
        <v>8.5</v>
      </c>
      <c r="H38" s="117">
        <f t="shared" si="21"/>
        <v>9.5</v>
      </c>
      <c r="I38" s="117">
        <f t="shared" si="21"/>
        <v>9</v>
      </c>
      <c r="J38" s="117">
        <f t="shared" si="21"/>
        <v>9.5</v>
      </c>
      <c r="K38" s="117">
        <f t="shared" si="21"/>
        <v>10</v>
      </c>
      <c r="L38" s="117">
        <f t="shared" si="21"/>
        <v>10.5</v>
      </c>
      <c r="M38" s="117">
        <f t="shared" si="21"/>
        <v>11</v>
      </c>
      <c r="N38" s="117">
        <f t="shared" si="21"/>
        <v>10.5</v>
      </c>
      <c r="O38" s="117">
        <f t="shared" si="21"/>
        <v>11</v>
      </c>
      <c r="P38" s="117">
        <f t="shared" si="21"/>
        <v>11.5</v>
      </c>
      <c r="Q38" s="117">
        <f t="shared" si="21"/>
        <v>12</v>
      </c>
      <c r="R38" s="117">
        <f t="shared" si="21"/>
        <v>12.5</v>
      </c>
      <c r="S38" s="117">
        <f t="shared" si="21"/>
        <v>12.5</v>
      </c>
      <c r="T38" s="117">
        <f t="shared" si="21"/>
        <v>13</v>
      </c>
      <c r="U38" s="117">
        <f t="shared" si="21"/>
        <v>13.5</v>
      </c>
      <c r="V38" s="117">
        <f t="shared" si="21"/>
        <v>14</v>
      </c>
      <c r="W38" s="117">
        <f t="shared" si="21"/>
        <v>14</v>
      </c>
      <c r="X38" s="302"/>
      <c r="Y38" s="98"/>
      <c r="Z38" s="98"/>
      <c r="AA38" s="98"/>
    </row>
    <row r="39" spans="1:27" s="303" customFormat="1">
      <c r="A39" s="304" t="s">
        <v>238</v>
      </c>
      <c r="B39" s="148" t="s">
        <v>187</v>
      </c>
      <c r="C39" s="116" t="s">
        <v>27</v>
      </c>
      <c r="D39" s="117">
        <v>10</v>
      </c>
      <c r="E39" s="117">
        <v>12</v>
      </c>
      <c r="F39" s="117">
        <f t="shared" ref="F39:W39" si="22">F38*F37</f>
        <v>13.5</v>
      </c>
      <c r="G39" s="117">
        <f t="shared" si="22"/>
        <v>15.3</v>
      </c>
      <c r="H39" s="117">
        <f t="shared" si="22"/>
        <v>17.100000000000001</v>
      </c>
      <c r="I39" s="117">
        <f t="shared" si="22"/>
        <v>16.2</v>
      </c>
      <c r="J39" s="117">
        <f t="shared" si="22"/>
        <v>17.100000000000001</v>
      </c>
      <c r="K39" s="117">
        <f t="shared" si="22"/>
        <v>18</v>
      </c>
      <c r="L39" s="117">
        <f t="shared" si="22"/>
        <v>18.900000000000002</v>
      </c>
      <c r="M39" s="117">
        <f t="shared" si="22"/>
        <v>19.8</v>
      </c>
      <c r="N39" s="117">
        <f t="shared" si="22"/>
        <v>18.900000000000002</v>
      </c>
      <c r="O39" s="117">
        <f t="shared" si="22"/>
        <v>19.8</v>
      </c>
      <c r="P39" s="117">
        <f t="shared" si="22"/>
        <v>20.7</v>
      </c>
      <c r="Q39" s="117">
        <f t="shared" si="22"/>
        <v>21.6</v>
      </c>
      <c r="R39" s="117">
        <f t="shared" si="22"/>
        <v>22.5</v>
      </c>
      <c r="S39" s="117">
        <f t="shared" si="22"/>
        <v>22.5</v>
      </c>
      <c r="T39" s="117">
        <f t="shared" si="22"/>
        <v>23.400000000000002</v>
      </c>
      <c r="U39" s="117">
        <f t="shared" si="22"/>
        <v>24.3</v>
      </c>
      <c r="V39" s="117">
        <f t="shared" si="22"/>
        <v>25.2</v>
      </c>
      <c r="W39" s="117">
        <f t="shared" si="22"/>
        <v>25.2</v>
      </c>
      <c r="X39" s="302"/>
      <c r="Y39" s="98"/>
      <c r="Z39" s="98"/>
      <c r="AA39" s="98"/>
    </row>
    <row r="40" spans="1:27">
      <c r="A40" s="156"/>
      <c r="B40" s="148" t="s">
        <v>189</v>
      </c>
      <c r="C40" s="116" t="s">
        <v>96</v>
      </c>
      <c r="D40" s="117">
        <f>D28+D29</f>
        <v>2.8</v>
      </c>
      <c r="E40" s="117">
        <f t="shared" ref="E40:W40" si="23">E28+E29</f>
        <v>3</v>
      </c>
      <c r="F40" s="117">
        <f t="shared" si="23"/>
        <v>3.2</v>
      </c>
      <c r="G40" s="117">
        <f t="shared" si="23"/>
        <v>3.2</v>
      </c>
      <c r="H40" s="117">
        <f t="shared" si="23"/>
        <v>3.2</v>
      </c>
      <c r="I40" s="117">
        <f t="shared" si="23"/>
        <v>3.2</v>
      </c>
      <c r="J40" s="117">
        <f t="shared" si="23"/>
        <v>3.2</v>
      </c>
      <c r="K40" s="117">
        <f t="shared" si="23"/>
        <v>3.7</v>
      </c>
      <c r="L40" s="117">
        <f t="shared" si="23"/>
        <v>3.7</v>
      </c>
      <c r="M40" s="117">
        <f t="shared" si="23"/>
        <v>4</v>
      </c>
      <c r="N40" s="117">
        <f t="shared" si="23"/>
        <v>4</v>
      </c>
      <c r="O40" s="117">
        <f t="shared" si="23"/>
        <v>4</v>
      </c>
      <c r="P40" s="117">
        <f t="shared" si="23"/>
        <v>4</v>
      </c>
      <c r="Q40" s="117">
        <f t="shared" si="23"/>
        <v>4</v>
      </c>
      <c r="R40" s="117">
        <f t="shared" si="23"/>
        <v>4</v>
      </c>
      <c r="S40" s="117">
        <f t="shared" si="23"/>
        <v>4.2</v>
      </c>
      <c r="T40" s="117">
        <f t="shared" si="23"/>
        <v>4.2</v>
      </c>
      <c r="U40" s="117">
        <f t="shared" si="23"/>
        <v>4.2</v>
      </c>
      <c r="V40" s="117">
        <f t="shared" si="23"/>
        <v>4.2</v>
      </c>
      <c r="W40" s="117">
        <f t="shared" si="23"/>
        <v>4.2</v>
      </c>
      <c r="X40" s="89"/>
    </row>
    <row r="41" spans="1:27" s="90" customFormat="1">
      <c r="A41" s="161" t="s">
        <v>241</v>
      </c>
      <c r="B41" s="149" t="s">
        <v>205</v>
      </c>
      <c r="C41" s="121" t="s">
        <v>96</v>
      </c>
      <c r="D41" s="133">
        <f>0.8+D3/3600/0.5/1</f>
        <v>1.0314814814814814</v>
      </c>
      <c r="E41" s="133">
        <f>0.5+E3/3600/0.5/1</f>
        <v>0.96296296296296302</v>
      </c>
      <c r="F41" s="133">
        <f>0.3+F3/3600/0.5/1</f>
        <v>0.99444444444444446</v>
      </c>
      <c r="G41" s="133">
        <f>0.1+G3/3600/0.5/1</f>
        <v>1.0259259259259259</v>
      </c>
      <c r="H41" s="133">
        <f t="shared" ref="H41:M41" si="24">H3/3600/0.5/1</f>
        <v>1.1574074074074074</v>
      </c>
      <c r="I41" s="133">
        <f t="shared" si="24"/>
        <v>1.3888888888888888</v>
      </c>
      <c r="J41" s="133">
        <f t="shared" si="24"/>
        <v>1.6203703703703702</v>
      </c>
      <c r="K41" s="133">
        <f t="shared" si="24"/>
        <v>1.8518518518518519</v>
      </c>
      <c r="L41" s="133">
        <f t="shared" si="24"/>
        <v>2.0833333333333335</v>
      </c>
      <c r="M41" s="133">
        <f t="shared" si="24"/>
        <v>2.3148148148148149</v>
      </c>
      <c r="N41" s="133">
        <f t="shared" ref="N41:W41" si="25">N3/3600/0.5/1.5</f>
        <v>1.6975308641975309</v>
      </c>
      <c r="O41" s="133">
        <f t="shared" si="25"/>
        <v>1.8518518518518519</v>
      </c>
      <c r="P41" s="133">
        <f t="shared" si="25"/>
        <v>2.0061728395061729</v>
      </c>
      <c r="Q41" s="133">
        <f t="shared" si="25"/>
        <v>2.1604938271604937</v>
      </c>
      <c r="R41" s="133">
        <f t="shared" si="25"/>
        <v>2.3148148148148149</v>
      </c>
      <c r="S41" s="133">
        <f t="shared" si="25"/>
        <v>2.4691358024691357</v>
      </c>
      <c r="T41" s="133">
        <f t="shared" si="25"/>
        <v>2.6234567901234569</v>
      </c>
      <c r="U41" s="133">
        <f t="shared" si="25"/>
        <v>2.7777777777777781</v>
      </c>
      <c r="V41" s="133">
        <f t="shared" si="25"/>
        <v>2.9320987654320985</v>
      </c>
      <c r="W41" s="133">
        <f t="shared" si="25"/>
        <v>3.0864197530864197</v>
      </c>
      <c r="X41" s="89"/>
      <c r="Y41" s="97"/>
      <c r="Z41" s="97"/>
      <c r="AA41" s="97"/>
    </row>
    <row r="42" spans="1:27" s="90" customFormat="1">
      <c r="B42" s="149" t="s">
        <v>219</v>
      </c>
      <c r="C42" s="121" t="s">
        <v>96</v>
      </c>
      <c r="D42" s="133">
        <f>D43+0.6</f>
        <v>-6.1000000000000014</v>
      </c>
      <c r="E42" s="133">
        <f t="shared" ref="E42:W45" si="26">E43+0.6</f>
        <v>-6.1000000000000014</v>
      </c>
      <c r="F42" s="133">
        <f t="shared" si="26"/>
        <v>-6.1000000000000014</v>
      </c>
      <c r="G42" s="133">
        <f t="shared" si="26"/>
        <v>-6.1000000000000014</v>
      </c>
      <c r="H42" s="133">
        <f t="shared" si="26"/>
        <v>-6.1000000000000014</v>
      </c>
      <c r="I42" s="133">
        <f t="shared" si="26"/>
        <v>-6.1000000000000014</v>
      </c>
      <c r="J42" s="133">
        <f t="shared" si="26"/>
        <v>-6.1000000000000014</v>
      </c>
      <c r="K42" s="133">
        <f t="shared" si="26"/>
        <v>-6.1000000000000014</v>
      </c>
      <c r="L42" s="133">
        <f t="shared" si="26"/>
        <v>-6.1000000000000014</v>
      </c>
      <c r="M42" s="133">
        <f t="shared" si="26"/>
        <v>-6.1000000000000014</v>
      </c>
      <c r="N42" s="133">
        <f t="shared" si="26"/>
        <v>-6.1000000000000014</v>
      </c>
      <c r="O42" s="133">
        <f t="shared" si="26"/>
        <v>-6.1000000000000014</v>
      </c>
      <c r="P42" s="133">
        <f t="shared" si="26"/>
        <v>-6.1000000000000014</v>
      </c>
      <c r="Q42" s="133">
        <f t="shared" si="26"/>
        <v>-6.1000000000000014</v>
      </c>
      <c r="R42" s="133">
        <f t="shared" si="26"/>
        <v>-6.1000000000000014</v>
      </c>
      <c r="S42" s="133">
        <f t="shared" si="26"/>
        <v>-6.1000000000000014</v>
      </c>
      <c r="T42" s="133">
        <f t="shared" si="26"/>
        <v>-6.1000000000000014</v>
      </c>
      <c r="U42" s="133">
        <f t="shared" si="26"/>
        <v>-6.1000000000000014</v>
      </c>
      <c r="V42" s="133">
        <f t="shared" si="26"/>
        <v>-6.1000000000000014</v>
      </c>
      <c r="W42" s="133">
        <f t="shared" si="26"/>
        <v>-6.1000000000000014</v>
      </c>
      <c r="X42" s="138" t="s">
        <v>222</v>
      </c>
      <c r="Y42" s="97"/>
      <c r="Z42" s="97"/>
      <c r="AA42" s="97"/>
    </row>
    <row r="43" spans="1:27" s="90" customFormat="1">
      <c r="B43" s="149" t="s">
        <v>218</v>
      </c>
      <c r="C43" s="121" t="s">
        <v>96</v>
      </c>
      <c r="D43" s="133">
        <f>D44+0.6</f>
        <v>-6.7000000000000011</v>
      </c>
      <c r="E43" s="133">
        <f t="shared" si="26"/>
        <v>-6.7000000000000011</v>
      </c>
      <c r="F43" s="133">
        <f t="shared" si="26"/>
        <v>-6.7000000000000011</v>
      </c>
      <c r="G43" s="133">
        <f t="shared" si="26"/>
        <v>-6.7000000000000011</v>
      </c>
      <c r="H43" s="133">
        <f t="shared" si="26"/>
        <v>-6.7000000000000011</v>
      </c>
      <c r="I43" s="133">
        <f t="shared" si="26"/>
        <v>-6.7000000000000011</v>
      </c>
      <c r="J43" s="133">
        <f t="shared" si="26"/>
        <v>-6.7000000000000011</v>
      </c>
      <c r="K43" s="133">
        <f t="shared" si="26"/>
        <v>-6.7000000000000011</v>
      </c>
      <c r="L43" s="133">
        <f t="shared" si="26"/>
        <v>-6.7000000000000011</v>
      </c>
      <c r="M43" s="133">
        <f t="shared" si="26"/>
        <v>-6.7000000000000011</v>
      </c>
      <c r="N43" s="133">
        <f t="shared" si="26"/>
        <v>-6.7000000000000011</v>
      </c>
      <c r="O43" s="133">
        <f t="shared" si="26"/>
        <v>-6.7000000000000011</v>
      </c>
      <c r="P43" s="133">
        <f t="shared" si="26"/>
        <v>-6.7000000000000011</v>
      </c>
      <c r="Q43" s="133">
        <f t="shared" si="26"/>
        <v>-6.7000000000000011</v>
      </c>
      <c r="R43" s="133">
        <f t="shared" si="26"/>
        <v>-6.7000000000000011</v>
      </c>
      <c r="S43" s="133">
        <f t="shared" si="26"/>
        <v>-6.7000000000000011</v>
      </c>
      <c r="T43" s="133">
        <f t="shared" si="26"/>
        <v>-6.7000000000000011</v>
      </c>
      <c r="U43" s="133">
        <f t="shared" si="26"/>
        <v>-6.7000000000000011</v>
      </c>
      <c r="V43" s="133">
        <f t="shared" si="26"/>
        <v>-6.7000000000000011</v>
      </c>
      <c r="W43" s="133">
        <f t="shared" si="26"/>
        <v>-6.7000000000000011</v>
      </c>
      <c r="X43" s="138" t="s">
        <v>222</v>
      </c>
      <c r="Y43" s="140" t="s">
        <v>225</v>
      </c>
      <c r="Z43" s="97"/>
      <c r="AA43" s="97"/>
    </row>
    <row r="44" spans="1:27" s="90" customFormat="1">
      <c r="B44" s="149" t="s">
        <v>217</v>
      </c>
      <c r="C44" s="121" t="s">
        <v>96</v>
      </c>
      <c r="D44" s="133">
        <f>D45+0.6</f>
        <v>-7.3000000000000007</v>
      </c>
      <c r="E44" s="133">
        <f t="shared" si="26"/>
        <v>-7.3000000000000007</v>
      </c>
      <c r="F44" s="133">
        <f t="shared" si="26"/>
        <v>-7.3000000000000007</v>
      </c>
      <c r="G44" s="133">
        <f t="shared" si="26"/>
        <v>-7.3000000000000007</v>
      </c>
      <c r="H44" s="133">
        <f t="shared" si="26"/>
        <v>-7.3000000000000007</v>
      </c>
      <c r="I44" s="133">
        <f t="shared" si="26"/>
        <v>-7.3000000000000007</v>
      </c>
      <c r="J44" s="133">
        <f t="shared" si="26"/>
        <v>-7.3000000000000007</v>
      </c>
      <c r="K44" s="133">
        <f t="shared" si="26"/>
        <v>-7.3000000000000007</v>
      </c>
      <c r="L44" s="133">
        <f t="shared" si="26"/>
        <v>-7.3000000000000007</v>
      </c>
      <c r="M44" s="133">
        <f t="shared" si="26"/>
        <v>-7.3000000000000007</v>
      </c>
      <c r="N44" s="133">
        <f t="shared" si="26"/>
        <v>-7.3000000000000007</v>
      </c>
      <c r="O44" s="133">
        <f t="shared" si="26"/>
        <v>-7.3000000000000007</v>
      </c>
      <c r="P44" s="133">
        <f t="shared" si="26"/>
        <v>-7.3000000000000007</v>
      </c>
      <c r="Q44" s="133">
        <f t="shared" si="26"/>
        <v>-7.3000000000000007</v>
      </c>
      <c r="R44" s="133">
        <f t="shared" si="26"/>
        <v>-7.3000000000000007</v>
      </c>
      <c r="S44" s="133">
        <f t="shared" si="26"/>
        <v>-7.3000000000000007</v>
      </c>
      <c r="T44" s="133">
        <f t="shared" si="26"/>
        <v>-7.3000000000000007</v>
      </c>
      <c r="U44" s="133">
        <f t="shared" si="26"/>
        <v>-7.3000000000000007</v>
      </c>
      <c r="V44" s="133">
        <f t="shared" si="26"/>
        <v>-7.3000000000000007</v>
      </c>
      <c r="W44" s="133">
        <f t="shared" si="26"/>
        <v>-7.3000000000000007</v>
      </c>
      <c r="X44" s="138" t="s">
        <v>221</v>
      </c>
      <c r="Y44" s="140" t="s">
        <v>223</v>
      </c>
      <c r="Z44" s="97"/>
      <c r="AA44" s="97"/>
    </row>
    <row r="45" spans="1:27" s="90" customFormat="1">
      <c r="B45" s="149" t="s">
        <v>216</v>
      </c>
      <c r="C45" s="121" t="s">
        <v>96</v>
      </c>
      <c r="D45" s="133">
        <f>D46+0.6</f>
        <v>-7.9</v>
      </c>
      <c r="E45" s="133">
        <f t="shared" si="26"/>
        <v>-7.9</v>
      </c>
      <c r="F45" s="133">
        <f t="shared" si="26"/>
        <v>-7.9</v>
      </c>
      <c r="G45" s="133">
        <f t="shared" si="26"/>
        <v>-7.9</v>
      </c>
      <c r="H45" s="133">
        <f t="shared" si="26"/>
        <v>-7.9</v>
      </c>
      <c r="I45" s="133">
        <f t="shared" si="26"/>
        <v>-7.9</v>
      </c>
      <c r="J45" s="133">
        <f t="shared" si="26"/>
        <v>-7.9</v>
      </c>
      <c r="K45" s="133">
        <f t="shared" si="26"/>
        <v>-7.9</v>
      </c>
      <c r="L45" s="133">
        <f t="shared" si="26"/>
        <v>-7.9</v>
      </c>
      <c r="M45" s="133">
        <f t="shared" si="26"/>
        <v>-7.9</v>
      </c>
      <c r="N45" s="133">
        <f t="shared" si="26"/>
        <v>-7.9</v>
      </c>
      <c r="O45" s="133">
        <f t="shared" si="26"/>
        <v>-7.9</v>
      </c>
      <c r="P45" s="133">
        <f t="shared" si="26"/>
        <v>-7.9</v>
      </c>
      <c r="Q45" s="133">
        <f t="shared" si="26"/>
        <v>-7.9</v>
      </c>
      <c r="R45" s="133">
        <f t="shared" si="26"/>
        <v>-7.9</v>
      </c>
      <c r="S45" s="133">
        <f t="shared" si="26"/>
        <v>-7.9</v>
      </c>
      <c r="T45" s="133">
        <f t="shared" si="26"/>
        <v>-7.9</v>
      </c>
      <c r="U45" s="133">
        <f t="shared" si="26"/>
        <v>-7.9</v>
      </c>
      <c r="V45" s="133">
        <f t="shared" si="26"/>
        <v>-7.9</v>
      </c>
      <c r="W45" s="133">
        <f t="shared" si="26"/>
        <v>-7.9</v>
      </c>
      <c r="X45" s="138" t="s">
        <v>221</v>
      </c>
      <c r="Y45" s="97"/>
      <c r="Z45" s="97"/>
      <c r="AA45" s="97"/>
    </row>
    <row r="46" spans="1:27" s="90" customFormat="1">
      <c r="B46" s="149" t="s">
        <v>215</v>
      </c>
      <c r="C46" s="121" t="s">
        <v>96</v>
      </c>
      <c r="D46" s="133">
        <f>-1*(D33-D29)</f>
        <v>-8.5</v>
      </c>
      <c r="E46" s="133">
        <f t="shared" ref="E46:W46" si="27">-1*(E33-E29)</f>
        <v>-8.5</v>
      </c>
      <c r="F46" s="133">
        <f t="shared" si="27"/>
        <v>-8.5</v>
      </c>
      <c r="G46" s="133">
        <f t="shared" si="27"/>
        <v>-8.5</v>
      </c>
      <c r="H46" s="133">
        <f t="shared" si="27"/>
        <v>-8.5</v>
      </c>
      <c r="I46" s="133">
        <f t="shared" si="27"/>
        <v>-8.5</v>
      </c>
      <c r="J46" s="133">
        <f t="shared" si="27"/>
        <v>-8.5</v>
      </c>
      <c r="K46" s="133">
        <f t="shared" si="27"/>
        <v>-8.5</v>
      </c>
      <c r="L46" s="133">
        <f t="shared" si="27"/>
        <v>-8.5</v>
      </c>
      <c r="M46" s="133">
        <f t="shared" si="27"/>
        <v>-8.5</v>
      </c>
      <c r="N46" s="133">
        <f t="shared" si="27"/>
        <v>-8.5</v>
      </c>
      <c r="O46" s="133">
        <f t="shared" si="27"/>
        <v>-8.5</v>
      </c>
      <c r="P46" s="133">
        <f t="shared" si="27"/>
        <v>-8.5</v>
      </c>
      <c r="Q46" s="133">
        <f t="shared" si="27"/>
        <v>-8.5</v>
      </c>
      <c r="R46" s="133">
        <f t="shared" si="27"/>
        <v>-8.5</v>
      </c>
      <c r="S46" s="133">
        <f t="shared" si="27"/>
        <v>-8.5</v>
      </c>
      <c r="T46" s="133">
        <f t="shared" si="27"/>
        <v>-8.5</v>
      </c>
      <c r="U46" s="133">
        <f t="shared" si="27"/>
        <v>-8.5</v>
      </c>
      <c r="V46" s="133">
        <f t="shared" si="27"/>
        <v>-8.5</v>
      </c>
      <c r="W46" s="133">
        <f t="shared" si="27"/>
        <v>-8.5</v>
      </c>
      <c r="X46" s="138" t="s">
        <v>220</v>
      </c>
      <c r="Y46" s="97"/>
      <c r="Z46" s="97"/>
      <c r="AA46" s="97"/>
    </row>
    <row r="47" spans="1:27" s="90" customFormat="1">
      <c r="A47" s="156"/>
      <c r="B47" s="149"/>
      <c r="C47" s="121" t="s">
        <v>224</v>
      </c>
      <c r="D47" s="133">
        <f t="shared" ref="D47:W47" si="28">D3/D10</f>
        <v>1.5957446808510638</v>
      </c>
      <c r="E47" s="133">
        <f t="shared" si="28"/>
        <v>1.6853932584269662</v>
      </c>
      <c r="F47" s="133">
        <f t="shared" si="28"/>
        <v>1.7647058823529411</v>
      </c>
      <c r="G47" s="133">
        <f t="shared" si="28"/>
        <v>1.8518518518518516</v>
      </c>
      <c r="H47" s="133">
        <f t="shared" si="28"/>
        <v>1.8987341772151898</v>
      </c>
      <c r="I47" s="133">
        <f t="shared" si="28"/>
        <v>2.5641025641025643</v>
      </c>
      <c r="J47" s="133">
        <f t="shared" si="28"/>
        <v>2.5974025974025969</v>
      </c>
      <c r="K47" s="133">
        <f t="shared" si="28"/>
        <v>2.6490066225165561</v>
      </c>
      <c r="L47" s="133">
        <f t="shared" si="28"/>
        <v>2.6666666666666665</v>
      </c>
      <c r="M47" s="133">
        <f t="shared" si="28"/>
        <v>2.666666666666667</v>
      </c>
      <c r="N47" s="133">
        <f t="shared" si="28"/>
        <v>3.333333333333333</v>
      </c>
      <c r="O47" s="133">
        <f t="shared" si="28"/>
        <v>3.3333333333333335</v>
      </c>
      <c r="P47" s="133">
        <f t="shared" si="28"/>
        <v>3.3333333333333335</v>
      </c>
      <c r="Q47" s="133">
        <f t="shared" si="28"/>
        <v>3.333333333333333</v>
      </c>
      <c r="R47" s="133">
        <f t="shared" si="28"/>
        <v>3.3333333333333335</v>
      </c>
      <c r="S47" s="133">
        <f t="shared" si="28"/>
        <v>3.3333333333333335</v>
      </c>
      <c r="T47" s="133">
        <f t="shared" si="28"/>
        <v>3.333333333333333</v>
      </c>
      <c r="U47" s="133">
        <f t="shared" si="28"/>
        <v>3.3333333333333335</v>
      </c>
      <c r="V47" s="133">
        <f t="shared" si="28"/>
        <v>3.3333333333333335</v>
      </c>
      <c r="W47" s="133">
        <f t="shared" si="28"/>
        <v>3.3333333333333335</v>
      </c>
      <c r="X47" s="138"/>
      <c r="Y47" s="97"/>
      <c r="Z47" s="97"/>
      <c r="AA47" s="97"/>
    </row>
    <row r="48" spans="1:27" s="90" customFormat="1">
      <c r="A48" s="156"/>
      <c r="B48" s="149" t="s">
        <v>223</v>
      </c>
      <c r="C48" s="121" t="s">
        <v>224</v>
      </c>
      <c r="D48" s="139">
        <f>ROUND(D47,0)</f>
        <v>2</v>
      </c>
      <c r="E48" s="139">
        <f t="shared" ref="E48:W48" si="29">ROUND(E47,0)</f>
        <v>2</v>
      </c>
      <c r="F48" s="139">
        <f t="shared" si="29"/>
        <v>2</v>
      </c>
      <c r="G48" s="139">
        <f t="shared" si="29"/>
        <v>2</v>
      </c>
      <c r="H48" s="139">
        <f t="shared" si="29"/>
        <v>2</v>
      </c>
      <c r="I48" s="139">
        <f t="shared" si="29"/>
        <v>3</v>
      </c>
      <c r="J48" s="139">
        <f t="shared" si="29"/>
        <v>3</v>
      </c>
      <c r="K48" s="139">
        <f t="shared" si="29"/>
        <v>3</v>
      </c>
      <c r="L48" s="139">
        <f t="shared" si="29"/>
        <v>3</v>
      </c>
      <c r="M48" s="139">
        <f t="shared" si="29"/>
        <v>3</v>
      </c>
      <c r="N48" s="139">
        <f t="shared" si="29"/>
        <v>3</v>
      </c>
      <c r="O48" s="139">
        <f t="shared" si="29"/>
        <v>3</v>
      </c>
      <c r="P48" s="139">
        <f t="shared" si="29"/>
        <v>3</v>
      </c>
      <c r="Q48" s="139">
        <f t="shared" si="29"/>
        <v>3</v>
      </c>
      <c r="R48" s="139">
        <f t="shared" si="29"/>
        <v>3</v>
      </c>
      <c r="S48" s="139">
        <f t="shared" si="29"/>
        <v>3</v>
      </c>
      <c r="T48" s="139">
        <f t="shared" si="29"/>
        <v>3</v>
      </c>
      <c r="U48" s="139">
        <f t="shared" si="29"/>
        <v>3</v>
      </c>
      <c r="V48" s="139">
        <f t="shared" si="29"/>
        <v>3</v>
      </c>
      <c r="W48" s="139">
        <f t="shared" si="29"/>
        <v>3</v>
      </c>
      <c r="X48" s="96"/>
      <c r="Y48" s="97"/>
      <c r="Z48" s="97"/>
      <c r="AA48" s="97"/>
    </row>
    <row r="49" spans="1:27" s="90" customFormat="1">
      <c r="A49" s="161" t="s">
        <v>242</v>
      </c>
      <c r="B49" s="149" t="s">
        <v>240</v>
      </c>
      <c r="C49" s="121" t="s">
        <v>154</v>
      </c>
      <c r="D49" s="139">
        <v>1.5</v>
      </c>
      <c r="E49" s="139">
        <v>1.5</v>
      </c>
      <c r="F49" s="139">
        <v>1.5</v>
      </c>
      <c r="G49" s="139">
        <v>1.7</v>
      </c>
      <c r="H49" s="139">
        <v>1.9</v>
      </c>
      <c r="I49" s="139">
        <v>2</v>
      </c>
      <c r="J49" s="139">
        <v>2.1</v>
      </c>
      <c r="K49" s="139">
        <v>2.2000000000000002</v>
      </c>
      <c r="L49" s="139">
        <v>2.2999999999999998</v>
      </c>
      <c r="M49" s="139">
        <v>2.4</v>
      </c>
      <c r="N49" s="139">
        <v>2.5</v>
      </c>
      <c r="O49" s="139">
        <v>2.6</v>
      </c>
      <c r="P49" s="139">
        <v>2.7</v>
      </c>
      <c r="Q49" s="139">
        <v>2.8</v>
      </c>
      <c r="R49" s="139">
        <v>2.9</v>
      </c>
      <c r="S49" s="139">
        <v>3</v>
      </c>
      <c r="T49" s="139">
        <v>3.1</v>
      </c>
      <c r="U49" s="139">
        <v>3.2</v>
      </c>
      <c r="V49" s="139">
        <v>3.3</v>
      </c>
      <c r="W49" s="139">
        <v>3.4</v>
      </c>
      <c r="X49" s="96"/>
      <c r="Y49" s="97"/>
      <c r="Z49" s="97"/>
      <c r="AA49" s="97"/>
    </row>
    <row r="50" spans="1:27" s="90" customFormat="1">
      <c r="A50" s="161" t="s">
        <v>247</v>
      </c>
      <c r="B50" s="149" t="s">
        <v>248</v>
      </c>
      <c r="C50" s="121" t="s">
        <v>96</v>
      </c>
      <c r="D50" s="139">
        <v>5</v>
      </c>
      <c r="E50" s="139">
        <v>5</v>
      </c>
      <c r="F50" s="139">
        <v>5</v>
      </c>
      <c r="G50" s="139">
        <v>5</v>
      </c>
      <c r="H50" s="139">
        <v>5</v>
      </c>
      <c r="I50" s="139">
        <v>5</v>
      </c>
      <c r="J50" s="139">
        <v>5</v>
      </c>
      <c r="K50" s="139">
        <v>5</v>
      </c>
      <c r="L50" s="139">
        <v>5</v>
      </c>
      <c r="M50" s="139">
        <v>5</v>
      </c>
      <c r="N50" s="139">
        <v>5</v>
      </c>
      <c r="O50" s="139">
        <v>5</v>
      </c>
      <c r="P50" s="139">
        <v>5</v>
      </c>
      <c r="Q50" s="139">
        <v>5</v>
      </c>
      <c r="R50" s="139">
        <v>5</v>
      </c>
      <c r="S50" s="139">
        <v>5</v>
      </c>
      <c r="T50" s="139">
        <v>5</v>
      </c>
      <c r="U50" s="139">
        <v>5</v>
      </c>
      <c r="V50" s="139">
        <v>5</v>
      </c>
      <c r="W50" s="139">
        <v>5</v>
      </c>
      <c r="X50" s="96"/>
      <c r="Y50" s="97"/>
      <c r="Z50" s="97"/>
      <c r="AA50" s="97"/>
    </row>
    <row r="51" spans="1:27" s="90" customFormat="1">
      <c r="A51" s="156"/>
      <c r="B51" s="150" t="s">
        <v>40</v>
      </c>
      <c r="C51" s="125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96"/>
      <c r="Y51" s="97"/>
      <c r="Z51" s="97"/>
      <c r="AA51" s="97"/>
    </row>
    <row r="52" spans="1:27" s="90" customFormat="1">
      <c r="A52" s="156"/>
      <c r="B52" s="150" t="s">
        <v>41</v>
      </c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96"/>
      <c r="Y52" s="97"/>
      <c r="Z52" s="97"/>
      <c r="AA52" s="97"/>
    </row>
    <row r="53" spans="1:27">
      <c r="A53" s="156"/>
      <c r="B53" s="146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96"/>
    </row>
    <row r="54" spans="1:27">
      <c r="A54" s="156"/>
      <c r="B54" s="151" t="s">
        <v>42</v>
      </c>
      <c r="C54" s="36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95"/>
    </row>
    <row r="55" spans="1:27">
      <c r="A55" s="156"/>
      <c r="B55" s="152"/>
      <c r="C55" s="3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95"/>
    </row>
    <row r="56" spans="1:27">
      <c r="A56" s="156"/>
      <c r="B56" s="153" t="s">
        <v>43</v>
      </c>
      <c r="C56" s="5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95"/>
    </row>
    <row r="57" spans="1:27">
      <c r="A57" s="156"/>
      <c r="B57" s="152"/>
      <c r="C57" s="3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95"/>
    </row>
    <row r="58" spans="1:27">
      <c r="A58" s="156"/>
      <c r="B58" s="152"/>
      <c r="C58" s="3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95"/>
    </row>
    <row r="59" spans="1:27">
      <c r="A59" s="156"/>
      <c r="B59" s="154" t="s">
        <v>44</v>
      </c>
      <c r="C59" s="39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95"/>
    </row>
    <row r="60" spans="1:27">
      <c r="A60" s="171" t="s">
        <v>289</v>
      </c>
      <c r="B60" s="175" t="s">
        <v>282</v>
      </c>
      <c r="C60" s="175" t="s">
        <v>154</v>
      </c>
      <c r="D60" s="314">
        <f>D9</f>
        <v>4</v>
      </c>
      <c r="E60" s="314">
        <f t="shared" ref="E60:W60" si="30">E9</f>
        <v>4</v>
      </c>
      <c r="F60" s="314">
        <f t="shared" si="30"/>
        <v>4</v>
      </c>
      <c r="G60" s="314">
        <f t="shared" si="30"/>
        <v>4</v>
      </c>
      <c r="H60" s="314">
        <f t="shared" si="30"/>
        <v>4</v>
      </c>
      <c r="I60" s="314">
        <f t="shared" si="30"/>
        <v>5</v>
      </c>
      <c r="J60" s="314">
        <f t="shared" si="30"/>
        <v>5</v>
      </c>
      <c r="K60" s="314">
        <f t="shared" si="30"/>
        <v>5</v>
      </c>
      <c r="L60" s="314">
        <f t="shared" si="30"/>
        <v>5</v>
      </c>
      <c r="M60" s="314">
        <f t="shared" si="30"/>
        <v>5</v>
      </c>
      <c r="N60" s="314">
        <f t="shared" si="30"/>
        <v>7</v>
      </c>
      <c r="O60" s="314">
        <f t="shared" si="30"/>
        <v>7</v>
      </c>
      <c r="P60" s="314">
        <f t="shared" si="30"/>
        <v>7</v>
      </c>
      <c r="Q60" s="314">
        <f t="shared" si="30"/>
        <v>7</v>
      </c>
      <c r="R60" s="314">
        <f t="shared" si="30"/>
        <v>7</v>
      </c>
      <c r="S60" s="314">
        <f t="shared" si="30"/>
        <v>7</v>
      </c>
      <c r="T60" s="314">
        <f t="shared" si="30"/>
        <v>7</v>
      </c>
      <c r="U60" s="314">
        <f t="shared" si="30"/>
        <v>7</v>
      </c>
      <c r="V60" s="314">
        <f t="shared" si="30"/>
        <v>7</v>
      </c>
      <c r="W60" s="314">
        <f t="shared" si="30"/>
        <v>7</v>
      </c>
      <c r="X60" s="95"/>
    </row>
    <row r="61" spans="1:27" s="318" customFormat="1">
      <c r="A61" s="315"/>
      <c r="B61" s="316"/>
      <c r="C61" s="317"/>
      <c r="D61" s="318">
        <f>(D5/3600/D60/0.5)^0.5</f>
        <v>0.32984283575105328</v>
      </c>
      <c r="E61" s="318">
        <f t="shared" ref="E61:W61" si="31">(E5/3600/E60/0.5)^0.5</f>
        <v>0.45389262884356091</v>
      </c>
      <c r="F61" s="318">
        <f t="shared" si="31"/>
        <v>0.54326686710022076</v>
      </c>
      <c r="G61" s="318">
        <f t="shared" si="31"/>
        <v>0.61237243569579458</v>
      </c>
      <c r="H61" s="318">
        <f t="shared" si="31"/>
        <v>0.67614785803544919</v>
      </c>
      <c r="I61" s="318">
        <f t="shared" si="31"/>
        <v>0.65828058860438332</v>
      </c>
      <c r="J61" s="318">
        <f t="shared" si="31"/>
        <v>0.70645174928941479</v>
      </c>
      <c r="K61" s="318">
        <f t="shared" si="31"/>
        <v>0.74783638535394847</v>
      </c>
      <c r="L61" s="318">
        <f t="shared" si="31"/>
        <v>0.79056941504209488</v>
      </c>
      <c r="M61" s="318">
        <f t="shared" si="31"/>
        <v>0.83333333333333337</v>
      </c>
      <c r="N61" s="318">
        <f t="shared" si="31"/>
        <v>0.73867105035659864</v>
      </c>
      <c r="O61" s="318">
        <f t="shared" si="31"/>
        <v>0.77151674981045959</v>
      </c>
      <c r="P61" s="318">
        <f t="shared" si="31"/>
        <v>0.80302009304952626</v>
      </c>
      <c r="Q61" s="318">
        <f t="shared" si="31"/>
        <v>0.83333333333333337</v>
      </c>
      <c r="R61" s="318">
        <f t="shared" si="31"/>
        <v>0.86258194917794273</v>
      </c>
      <c r="S61" s="318">
        <f t="shared" si="31"/>
        <v>0.89087080637474791</v>
      </c>
      <c r="T61" s="318">
        <f t="shared" si="31"/>
        <v>0.91828860836556625</v>
      </c>
      <c r="U61" s="318">
        <f t="shared" si="31"/>
        <v>0.94491118252306805</v>
      </c>
      <c r="V61" s="318">
        <f t="shared" si="31"/>
        <v>0.97080395418452914</v>
      </c>
      <c r="W61" s="318">
        <f t="shared" si="31"/>
        <v>0.99602384111199471</v>
      </c>
      <c r="X61" s="319"/>
      <c r="Y61" s="320"/>
      <c r="Z61" s="320"/>
      <c r="AA61" s="320"/>
    </row>
    <row r="62" spans="1:27">
      <c r="A62" s="161" t="s">
        <v>281</v>
      </c>
      <c r="B62" s="174" t="s">
        <v>290</v>
      </c>
      <c r="C62" s="121" t="s">
        <v>96</v>
      </c>
      <c r="D62" s="14">
        <v>0.35</v>
      </c>
      <c r="E62" s="14">
        <v>0.45</v>
      </c>
      <c r="F62" s="14">
        <v>0.6</v>
      </c>
      <c r="G62" s="14">
        <v>0.6</v>
      </c>
      <c r="H62" s="14">
        <v>0.7</v>
      </c>
      <c r="I62" s="14">
        <v>0.7</v>
      </c>
      <c r="J62" s="14">
        <v>0.7</v>
      </c>
      <c r="K62" s="14">
        <v>0.8</v>
      </c>
      <c r="L62" s="14">
        <v>0.8</v>
      </c>
      <c r="M62" s="14">
        <v>0.85</v>
      </c>
      <c r="N62" s="14">
        <v>0.75</v>
      </c>
      <c r="O62" s="14">
        <v>0.8</v>
      </c>
      <c r="P62" s="14">
        <v>0.8</v>
      </c>
      <c r="Q62" s="14">
        <v>0.85</v>
      </c>
      <c r="R62" s="14">
        <v>0.9</v>
      </c>
      <c r="S62" s="14">
        <v>0.9</v>
      </c>
      <c r="T62" s="14">
        <v>0.95</v>
      </c>
      <c r="U62" s="14">
        <v>0.95</v>
      </c>
      <c r="V62" s="14">
        <v>1</v>
      </c>
      <c r="W62" s="14">
        <v>1</v>
      </c>
    </row>
    <row r="63" spans="1:27">
      <c r="A63" s="122"/>
      <c r="B63" s="243" t="s">
        <v>353</v>
      </c>
      <c r="C63" s="121" t="s">
        <v>224</v>
      </c>
      <c r="D63" s="14">
        <v>3</v>
      </c>
      <c r="E63" s="14">
        <v>3</v>
      </c>
      <c r="F63" s="14">
        <v>4</v>
      </c>
      <c r="G63" s="14">
        <v>4</v>
      </c>
      <c r="H63" s="14">
        <v>4</v>
      </c>
      <c r="I63" s="14">
        <v>5</v>
      </c>
      <c r="J63" s="14">
        <v>5</v>
      </c>
      <c r="K63" s="14">
        <v>5</v>
      </c>
      <c r="L63" s="14">
        <v>5</v>
      </c>
      <c r="M63" s="14">
        <v>5</v>
      </c>
      <c r="N63" s="14">
        <v>7</v>
      </c>
      <c r="O63" s="14">
        <v>7</v>
      </c>
      <c r="P63" s="14">
        <v>7</v>
      </c>
      <c r="Q63" s="14">
        <v>7</v>
      </c>
      <c r="R63" s="14">
        <v>7</v>
      </c>
      <c r="S63" s="14">
        <v>7</v>
      </c>
      <c r="T63" s="14">
        <v>7</v>
      </c>
      <c r="U63" s="14">
        <v>7</v>
      </c>
      <c r="V63" s="14">
        <v>7</v>
      </c>
      <c r="W63" s="14">
        <v>7</v>
      </c>
    </row>
    <row r="64" spans="1:27">
      <c r="A64" s="161" t="s">
        <v>359</v>
      </c>
      <c r="B64" s="243" t="s">
        <v>355</v>
      </c>
      <c r="C64" s="121" t="s">
        <v>224</v>
      </c>
      <c r="D64" s="14">
        <v>2</v>
      </c>
      <c r="E64" s="14">
        <v>2</v>
      </c>
      <c r="F64" s="14">
        <v>2</v>
      </c>
      <c r="G64" s="14">
        <v>2</v>
      </c>
      <c r="H64" s="14">
        <v>2</v>
      </c>
      <c r="I64" s="14">
        <v>2</v>
      </c>
      <c r="J64" s="14">
        <v>2</v>
      </c>
      <c r="K64" s="14">
        <v>2</v>
      </c>
      <c r="L64" s="14">
        <v>2</v>
      </c>
      <c r="M64" s="14">
        <v>2</v>
      </c>
      <c r="N64" s="14">
        <v>3</v>
      </c>
      <c r="O64" s="14">
        <v>3</v>
      </c>
      <c r="P64" s="14">
        <v>3</v>
      </c>
      <c r="Q64" s="14">
        <v>3</v>
      </c>
      <c r="R64" s="14">
        <v>3</v>
      </c>
      <c r="S64" s="14">
        <v>3</v>
      </c>
      <c r="T64" s="14">
        <v>3</v>
      </c>
      <c r="U64" s="14">
        <v>3</v>
      </c>
      <c r="V64" s="14">
        <v>3</v>
      </c>
      <c r="W64" s="14">
        <v>3</v>
      </c>
    </row>
    <row r="65" spans="1:24">
      <c r="A65" s="161" t="s">
        <v>361</v>
      </c>
      <c r="B65" s="243" t="s">
        <v>357</v>
      </c>
      <c r="C65" s="121" t="s">
        <v>224</v>
      </c>
      <c r="D65" s="14">
        <v>1</v>
      </c>
      <c r="E65" s="14">
        <v>1</v>
      </c>
      <c r="F65" s="14">
        <v>2</v>
      </c>
      <c r="G65" s="14">
        <v>2</v>
      </c>
      <c r="H65" s="14">
        <v>2</v>
      </c>
      <c r="I65" s="14">
        <v>3</v>
      </c>
      <c r="J65" s="14">
        <v>3</v>
      </c>
      <c r="K65" s="14">
        <v>3</v>
      </c>
      <c r="L65" s="14">
        <v>3</v>
      </c>
      <c r="M65" s="14">
        <v>3</v>
      </c>
      <c r="N65" s="14">
        <v>4</v>
      </c>
      <c r="O65" s="14">
        <v>4</v>
      </c>
      <c r="P65" s="14">
        <v>4</v>
      </c>
      <c r="Q65" s="14">
        <v>4</v>
      </c>
      <c r="R65" s="14">
        <v>4</v>
      </c>
      <c r="S65" s="14">
        <v>4</v>
      </c>
      <c r="T65" s="14">
        <v>4</v>
      </c>
      <c r="U65" s="14">
        <v>4</v>
      </c>
      <c r="V65" s="14">
        <v>4</v>
      </c>
      <c r="W65" s="14">
        <v>4</v>
      </c>
    </row>
    <row r="66" spans="1:24">
      <c r="A66" s="161" t="s">
        <v>363</v>
      </c>
      <c r="B66" s="243" t="s">
        <v>371</v>
      </c>
      <c r="C66" s="121" t="s">
        <v>96</v>
      </c>
      <c r="D66" s="245">
        <f>D64/D63*(D39-D68)</f>
        <v>6.3999999999999995</v>
      </c>
      <c r="E66" s="245">
        <f t="shared" ref="E66:W66" si="32">E64/E63*(E39-E68)</f>
        <v>7.7333333333333325</v>
      </c>
      <c r="F66" s="245">
        <f t="shared" si="32"/>
        <v>6.5</v>
      </c>
      <c r="G66" s="245">
        <f t="shared" si="32"/>
        <v>7.4</v>
      </c>
      <c r="H66" s="245">
        <f t="shared" si="32"/>
        <v>8.3000000000000007</v>
      </c>
      <c r="I66" s="245">
        <f t="shared" si="32"/>
        <v>6.28</v>
      </c>
      <c r="J66" s="245">
        <f t="shared" si="32"/>
        <v>6.6400000000000006</v>
      </c>
      <c r="K66" s="245">
        <f t="shared" si="32"/>
        <v>7</v>
      </c>
      <c r="L66" s="245">
        <f t="shared" si="32"/>
        <v>7.3600000000000012</v>
      </c>
      <c r="M66" s="245">
        <f t="shared" si="32"/>
        <v>7.7200000000000006</v>
      </c>
      <c r="N66" s="245">
        <f t="shared" si="32"/>
        <v>7.8428571428571425</v>
      </c>
      <c r="O66" s="245">
        <f t="shared" si="32"/>
        <v>8.2285714285714278</v>
      </c>
      <c r="P66" s="245">
        <f t="shared" si="32"/>
        <v>8.6142857142857121</v>
      </c>
      <c r="Q66" s="245">
        <f t="shared" si="32"/>
        <v>9</v>
      </c>
      <c r="R66" s="245">
        <f t="shared" si="32"/>
        <v>9.3857142857142843</v>
      </c>
      <c r="S66" s="245">
        <f t="shared" si="32"/>
        <v>9.3857142857142843</v>
      </c>
      <c r="T66" s="245">
        <f t="shared" si="32"/>
        <v>9.7714285714285705</v>
      </c>
      <c r="U66" s="245">
        <f t="shared" si="32"/>
        <v>10.157142857142857</v>
      </c>
      <c r="V66" s="245">
        <f t="shared" si="32"/>
        <v>10.542857142857141</v>
      </c>
      <c r="W66" s="245">
        <f t="shared" si="32"/>
        <v>10.542857142857141</v>
      </c>
    </row>
    <row r="67" spans="1:24">
      <c r="A67" s="161" t="s">
        <v>365</v>
      </c>
      <c r="B67" s="243" t="s">
        <v>373</v>
      </c>
      <c r="C67" s="121" t="s">
        <v>96</v>
      </c>
      <c r="D67" s="245">
        <f>D39-D66-D68</f>
        <v>3.2000000000000006</v>
      </c>
      <c r="E67" s="245">
        <f t="shared" ref="E67:W67" si="33">E39-E66-E68</f>
        <v>3.8666666666666676</v>
      </c>
      <c r="F67" s="245">
        <f t="shared" si="33"/>
        <v>6.5</v>
      </c>
      <c r="G67" s="245">
        <f t="shared" si="33"/>
        <v>7.4</v>
      </c>
      <c r="H67" s="245">
        <f t="shared" si="33"/>
        <v>8.3000000000000007</v>
      </c>
      <c r="I67" s="245">
        <f t="shared" si="33"/>
        <v>9.4199999999999982</v>
      </c>
      <c r="J67" s="245">
        <f t="shared" si="33"/>
        <v>9.9600000000000009</v>
      </c>
      <c r="K67" s="245">
        <f t="shared" si="33"/>
        <v>10.5</v>
      </c>
      <c r="L67" s="245">
        <f t="shared" si="33"/>
        <v>11.040000000000001</v>
      </c>
      <c r="M67" s="245">
        <f t="shared" si="33"/>
        <v>11.58</v>
      </c>
      <c r="N67" s="245">
        <f t="shared" si="33"/>
        <v>10.457142857142861</v>
      </c>
      <c r="O67" s="245">
        <f t="shared" si="33"/>
        <v>10.971428571428573</v>
      </c>
      <c r="P67" s="245">
        <f t="shared" si="33"/>
        <v>11.485714285714288</v>
      </c>
      <c r="Q67" s="245">
        <f t="shared" si="33"/>
        <v>12.000000000000002</v>
      </c>
      <c r="R67" s="245">
        <f t="shared" si="33"/>
        <v>12.514285714285716</v>
      </c>
      <c r="S67" s="245">
        <f t="shared" si="33"/>
        <v>12.514285714285716</v>
      </c>
      <c r="T67" s="245">
        <f t="shared" si="33"/>
        <v>13.028571428571432</v>
      </c>
      <c r="U67" s="245">
        <f t="shared" si="33"/>
        <v>13.542857142857144</v>
      </c>
      <c r="V67" s="245">
        <f t="shared" si="33"/>
        <v>14.057142857142859</v>
      </c>
      <c r="W67" s="245">
        <f t="shared" si="33"/>
        <v>14.057142857142859</v>
      </c>
    </row>
    <row r="68" spans="1:24">
      <c r="A68" s="161" t="s">
        <v>367</v>
      </c>
      <c r="B68" s="243" t="s">
        <v>369</v>
      </c>
      <c r="C68" s="121" t="s">
        <v>96</v>
      </c>
      <c r="D68" s="245">
        <v>0.4</v>
      </c>
      <c r="E68" s="245">
        <v>0.4</v>
      </c>
      <c r="F68" s="245">
        <v>0.5</v>
      </c>
      <c r="G68" s="245">
        <v>0.5</v>
      </c>
      <c r="H68" s="245">
        <v>0.5</v>
      </c>
      <c r="I68" s="245">
        <v>0.5</v>
      </c>
      <c r="J68" s="245">
        <v>0.5</v>
      </c>
      <c r="K68" s="245">
        <v>0.5</v>
      </c>
      <c r="L68" s="245">
        <v>0.5</v>
      </c>
      <c r="M68" s="245">
        <v>0.5</v>
      </c>
      <c r="N68" s="245">
        <v>0.6</v>
      </c>
      <c r="O68" s="245">
        <v>0.6</v>
      </c>
      <c r="P68" s="245">
        <v>0.6</v>
      </c>
      <c r="Q68" s="245">
        <v>0.6</v>
      </c>
      <c r="R68" s="245">
        <v>0.6</v>
      </c>
      <c r="S68" s="245">
        <v>0.6</v>
      </c>
      <c r="T68" s="245">
        <v>0.6</v>
      </c>
      <c r="U68" s="245">
        <v>0.6</v>
      </c>
      <c r="V68" s="245">
        <v>0.6</v>
      </c>
      <c r="W68" s="245">
        <v>0.6</v>
      </c>
      <c r="X68" s="140" t="s">
        <v>374</v>
      </c>
    </row>
    <row r="69" spans="1:24">
      <c r="A69" s="161" t="s">
        <v>246</v>
      </c>
      <c r="B69" s="149" t="s">
        <v>219</v>
      </c>
      <c r="C69" s="121" t="s">
        <v>96</v>
      </c>
      <c r="D69" s="162" t="str">
        <f>"-1*(H-h3-h4)+2.4"</f>
        <v>-1*(H-h3-h4)+2.4</v>
      </c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</row>
    <row r="70" spans="1:24">
      <c r="A70" s="161" t="s">
        <v>245</v>
      </c>
      <c r="B70" s="149" t="s">
        <v>218</v>
      </c>
      <c r="C70" s="121" t="s">
        <v>96</v>
      </c>
      <c r="D70" s="162" t="str">
        <f>"-1*(H-h3-h4)+1.8"</f>
        <v>-1*(H-h3-h4)+1.8</v>
      </c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</row>
    <row r="71" spans="1:24">
      <c r="A71" s="161" t="s">
        <v>244</v>
      </c>
      <c r="B71" s="149" t="s">
        <v>217</v>
      </c>
      <c r="C71" s="121" t="s">
        <v>96</v>
      </c>
      <c r="D71" s="162" t="str">
        <f>"-1*(H-h3-h4)+1.2"</f>
        <v>-1*(H-h3-h4)+1.2</v>
      </c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</row>
    <row r="72" spans="1:24">
      <c r="A72" s="161" t="s">
        <v>237</v>
      </c>
      <c r="B72" s="149" t="s">
        <v>216</v>
      </c>
      <c r="C72" s="121" t="s">
        <v>96</v>
      </c>
      <c r="D72" s="162" t="str">
        <f>"-1*(H-h3-h4)+0.6"</f>
        <v>-1*(H-h3-h4)+0.6</v>
      </c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</row>
    <row r="73" spans="1:24">
      <c r="A73" s="161" t="s">
        <v>243</v>
      </c>
      <c r="B73" s="149" t="s">
        <v>215</v>
      </c>
      <c r="C73" s="121" t="s">
        <v>96</v>
      </c>
      <c r="D73" s="162" t="str">
        <f>"-1*(H-h3-h4)"</f>
        <v>-1*(H-h3-h4)</v>
      </c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</row>
    <row r="74" spans="1:24">
      <c r="A74" s="171" t="s">
        <v>278</v>
      </c>
      <c r="B74" s="173" t="s">
        <v>279</v>
      </c>
      <c r="C74" s="121" t="s">
        <v>96</v>
      </c>
      <c r="D74" s="244" t="s">
        <v>280</v>
      </c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</row>
    <row r="75" spans="1:24">
      <c r="A75" s="161" t="s">
        <v>276</v>
      </c>
      <c r="B75" s="174" t="s">
        <v>277</v>
      </c>
      <c r="C75" s="121" t="s">
        <v>96</v>
      </c>
      <c r="D75" s="162" t="str">
        <f>"-1*(hf+0.5*Di)"</f>
        <v>-1*(hf+0.5*Di)</v>
      </c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</row>
    <row r="76" spans="1:24">
      <c r="A76" s="67"/>
      <c r="B76" s="141" t="s">
        <v>434</v>
      </c>
      <c r="C76" s="141"/>
      <c r="D76" s="141">
        <v>3</v>
      </c>
      <c r="E76" s="141">
        <v>3</v>
      </c>
      <c r="F76" s="141">
        <v>3</v>
      </c>
      <c r="G76" s="141">
        <v>3</v>
      </c>
      <c r="H76" s="141">
        <v>3</v>
      </c>
      <c r="I76" s="141">
        <v>3</v>
      </c>
      <c r="J76" s="141">
        <v>3</v>
      </c>
      <c r="K76" s="141">
        <v>3</v>
      </c>
      <c r="L76" s="141">
        <v>3</v>
      </c>
      <c r="M76" s="141">
        <v>3</v>
      </c>
      <c r="N76" s="141">
        <v>3</v>
      </c>
      <c r="O76" s="141">
        <v>3</v>
      </c>
      <c r="P76" s="141">
        <v>3</v>
      </c>
      <c r="Q76" s="141">
        <v>3</v>
      </c>
      <c r="R76" s="141">
        <v>3</v>
      </c>
      <c r="S76" s="141">
        <v>3</v>
      </c>
      <c r="T76" s="141">
        <v>3</v>
      </c>
      <c r="U76" s="141">
        <v>3</v>
      </c>
      <c r="V76" s="141">
        <v>3</v>
      </c>
      <c r="W76" s="141">
        <v>3</v>
      </c>
    </row>
    <row r="77" spans="1:24">
      <c r="B77" s="141" t="s">
        <v>435</v>
      </c>
      <c r="C77" s="3"/>
      <c r="D77" s="250">
        <v>3</v>
      </c>
      <c r="E77" s="250">
        <v>3</v>
      </c>
      <c r="F77" s="3">
        <v>2</v>
      </c>
      <c r="G77" s="3">
        <v>2</v>
      </c>
      <c r="H77" s="3">
        <v>2</v>
      </c>
      <c r="I77" s="3">
        <v>2</v>
      </c>
      <c r="J77" s="3">
        <v>2</v>
      </c>
      <c r="K77" s="3">
        <v>2</v>
      </c>
      <c r="L77" s="3">
        <v>2</v>
      </c>
      <c r="M77" s="3">
        <v>2</v>
      </c>
      <c r="N77" s="250">
        <v>3</v>
      </c>
      <c r="O77" s="250">
        <v>3</v>
      </c>
      <c r="P77" s="250">
        <v>3</v>
      </c>
      <c r="Q77" s="250">
        <v>3</v>
      </c>
      <c r="R77" s="250">
        <v>3</v>
      </c>
      <c r="S77" s="250">
        <v>3</v>
      </c>
      <c r="T77" s="250">
        <v>3</v>
      </c>
      <c r="U77" s="250">
        <v>3</v>
      </c>
      <c r="V77" s="250">
        <v>3</v>
      </c>
      <c r="W77" s="250">
        <v>3</v>
      </c>
    </row>
    <row r="78" spans="1:24">
      <c r="B78" s="251" t="s">
        <v>160</v>
      </c>
      <c r="C78" s="251" t="s">
        <v>465</v>
      </c>
      <c r="D78" s="14">
        <f>1000*D26</f>
        <v>300</v>
      </c>
      <c r="E78" s="14">
        <f t="shared" ref="E78:W78" si="34">1000*E26</f>
        <v>400</v>
      </c>
      <c r="F78" s="14">
        <f t="shared" si="34"/>
        <v>450</v>
      </c>
      <c r="G78" s="14">
        <f t="shared" si="34"/>
        <v>600</v>
      </c>
      <c r="H78" s="14">
        <f t="shared" si="34"/>
        <v>600</v>
      </c>
      <c r="I78" s="14">
        <f t="shared" si="34"/>
        <v>600</v>
      </c>
      <c r="J78" s="14">
        <f t="shared" si="34"/>
        <v>600</v>
      </c>
      <c r="K78" s="14">
        <f t="shared" si="34"/>
        <v>600</v>
      </c>
      <c r="L78" s="14">
        <f t="shared" si="34"/>
        <v>700</v>
      </c>
      <c r="M78" s="14">
        <f t="shared" si="34"/>
        <v>700</v>
      </c>
      <c r="N78" s="14">
        <f t="shared" si="34"/>
        <v>700</v>
      </c>
      <c r="O78" s="14">
        <f t="shared" si="34"/>
        <v>700</v>
      </c>
      <c r="P78" s="14">
        <f t="shared" si="34"/>
        <v>700</v>
      </c>
      <c r="Q78" s="14">
        <f t="shared" si="34"/>
        <v>800</v>
      </c>
      <c r="R78" s="14">
        <f t="shared" si="34"/>
        <v>800</v>
      </c>
      <c r="S78" s="14">
        <f t="shared" si="34"/>
        <v>800</v>
      </c>
      <c r="T78" s="14">
        <f t="shared" si="34"/>
        <v>800</v>
      </c>
      <c r="U78" s="14">
        <f t="shared" si="34"/>
        <v>800</v>
      </c>
      <c r="V78" s="14">
        <f t="shared" si="34"/>
        <v>900</v>
      </c>
      <c r="W78" s="14">
        <f t="shared" si="34"/>
        <v>900</v>
      </c>
    </row>
    <row r="79" spans="1:24">
      <c r="B79" s="251" t="s">
        <v>464</v>
      </c>
      <c r="C79" s="251" t="s">
        <v>466</v>
      </c>
      <c r="D79" s="292" t="s">
        <v>469</v>
      </c>
      <c r="E79" s="288" t="s">
        <v>470</v>
      </c>
      <c r="F79" s="288" t="s">
        <v>471</v>
      </c>
      <c r="G79" s="288" t="s">
        <v>473</v>
      </c>
      <c r="H79" s="288" t="s">
        <v>473</v>
      </c>
      <c r="I79" s="288" t="s">
        <v>472</v>
      </c>
      <c r="J79" s="288" t="s">
        <v>472</v>
      </c>
      <c r="K79" s="288" t="s">
        <v>472</v>
      </c>
      <c r="L79" s="288" t="s">
        <v>475</v>
      </c>
      <c r="M79" s="288" t="s">
        <v>475</v>
      </c>
      <c r="N79" s="288" t="s">
        <v>474</v>
      </c>
      <c r="O79" s="288" t="s">
        <v>474</v>
      </c>
      <c r="P79" s="288" t="s">
        <v>474</v>
      </c>
      <c r="Q79" s="288" t="s">
        <v>477</v>
      </c>
      <c r="R79" s="288" t="s">
        <v>477</v>
      </c>
      <c r="S79" s="288" t="s">
        <v>476</v>
      </c>
      <c r="T79" s="288" t="s">
        <v>476</v>
      </c>
      <c r="U79" s="288" t="s">
        <v>476</v>
      </c>
      <c r="V79" s="288" t="s">
        <v>478</v>
      </c>
      <c r="W79" s="288" t="s">
        <v>478</v>
      </c>
    </row>
    <row r="80" spans="1:24">
      <c r="A80" s="295" t="s">
        <v>484</v>
      </c>
      <c r="B80" s="293" t="s">
        <v>479</v>
      </c>
      <c r="C80" s="293" t="s">
        <v>480</v>
      </c>
      <c r="D80" s="335" t="s">
        <v>512</v>
      </c>
      <c r="E80" s="335" t="s">
        <v>512</v>
      </c>
      <c r="F80" s="336" t="s">
        <v>514</v>
      </c>
      <c r="G80" s="336" t="s">
        <v>514</v>
      </c>
      <c r="H80" s="336" t="s">
        <v>513</v>
      </c>
      <c r="I80" s="336" t="s">
        <v>513</v>
      </c>
      <c r="J80" s="336" t="s">
        <v>513</v>
      </c>
      <c r="K80" s="336" t="s">
        <v>513</v>
      </c>
      <c r="L80" s="294" t="s">
        <v>481</v>
      </c>
      <c r="M80" s="294" t="s">
        <v>481</v>
      </c>
      <c r="N80" s="336" t="s">
        <v>514</v>
      </c>
      <c r="O80" s="294" t="s">
        <v>481</v>
      </c>
      <c r="P80" s="294" t="s">
        <v>481</v>
      </c>
      <c r="Q80" s="294" t="s">
        <v>481</v>
      </c>
      <c r="R80" s="294" t="s">
        <v>481</v>
      </c>
      <c r="S80" s="294" t="s">
        <v>481</v>
      </c>
      <c r="T80" s="294" t="s">
        <v>481</v>
      </c>
      <c r="U80" s="294" t="s">
        <v>481</v>
      </c>
      <c r="V80" s="294" t="s">
        <v>481</v>
      </c>
      <c r="W80" s="294" t="s">
        <v>481</v>
      </c>
    </row>
    <row r="81" spans="1:27">
      <c r="D81">
        <f>310-85+50+D76</f>
        <v>278</v>
      </c>
      <c r="F81">
        <f>F83</f>
        <v>800</v>
      </c>
      <c r="K81">
        <f>435-135+50+K78</f>
        <v>950</v>
      </c>
      <c r="L81">
        <f>475-135+50+L78</f>
        <v>1090</v>
      </c>
      <c r="W81">
        <f>550-135+50+W78</f>
        <v>1365</v>
      </c>
    </row>
    <row r="82" spans="1:27">
      <c r="K82">
        <f>435-135+50+K78</f>
        <v>950</v>
      </c>
      <c r="L82">
        <f>550-135+50+L78</f>
        <v>1165</v>
      </c>
      <c r="W82">
        <f>525-135+50+W78</f>
        <v>1340</v>
      </c>
    </row>
    <row r="83" spans="1:27">
      <c r="D83">
        <f>279-85+50+D78</f>
        <v>544</v>
      </c>
      <c r="F83">
        <f>435-135+50+F78</f>
        <v>800</v>
      </c>
      <c r="K83">
        <f>450-135+50+K78</f>
        <v>965</v>
      </c>
      <c r="L83">
        <f>550-135+50+L78</f>
        <v>1165</v>
      </c>
      <c r="W83">
        <f>525-135+50+W78</f>
        <v>1340</v>
      </c>
    </row>
    <row r="84" spans="1:27">
      <c r="A84" s="161" t="s">
        <v>482</v>
      </c>
      <c r="B84" s="293" t="s">
        <v>483</v>
      </c>
      <c r="C84" s="293" t="s">
        <v>482</v>
      </c>
      <c r="D84" s="14">
        <v>500</v>
      </c>
      <c r="E84" s="14">
        <v>500</v>
      </c>
      <c r="F84" s="14">
        <v>750</v>
      </c>
      <c r="G84" s="14">
        <v>750</v>
      </c>
      <c r="H84" s="14">
        <v>750</v>
      </c>
      <c r="I84" s="14">
        <v>750</v>
      </c>
      <c r="J84" s="14">
        <v>750</v>
      </c>
      <c r="K84" s="14">
        <v>750</v>
      </c>
      <c r="L84" s="14">
        <v>1150</v>
      </c>
      <c r="M84" s="14">
        <v>1150</v>
      </c>
      <c r="N84" s="14">
        <v>1150</v>
      </c>
      <c r="O84" s="14">
        <v>1150</v>
      </c>
      <c r="P84" s="14">
        <v>1150</v>
      </c>
      <c r="Q84" s="14">
        <v>1150</v>
      </c>
      <c r="R84" s="14">
        <v>1150</v>
      </c>
      <c r="S84" s="14">
        <v>1150</v>
      </c>
      <c r="T84" s="14">
        <v>1150</v>
      </c>
      <c r="U84" s="14">
        <v>1150</v>
      </c>
      <c r="V84" s="14">
        <v>1150</v>
      </c>
      <c r="W84" s="14">
        <v>1150</v>
      </c>
    </row>
    <row r="86" spans="1:27" s="303" customFormat="1">
      <c r="A86" s="301"/>
      <c r="B86" s="305" t="s">
        <v>497</v>
      </c>
      <c r="C86" s="116"/>
      <c r="D86" s="117">
        <v>1.8</v>
      </c>
      <c r="E86" s="117">
        <v>1.8</v>
      </c>
      <c r="F86" s="117">
        <v>1.8</v>
      </c>
      <c r="G86" s="117">
        <v>1.8</v>
      </c>
      <c r="H86" s="117">
        <v>1.8</v>
      </c>
      <c r="I86" s="117">
        <v>1.8</v>
      </c>
      <c r="J86" s="117">
        <v>1.8</v>
      </c>
      <c r="K86" s="117">
        <v>1.8</v>
      </c>
      <c r="L86" s="117">
        <v>1.8</v>
      </c>
      <c r="M86" s="117">
        <v>1.8</v>
      </c>
      <c r="N86" s="117">
        <v>1.8</v>
      </c>
      <c r="O86" s="117">
        <v>1.8</v>
      </c>
      <c r="P86" s="117">
        <v>1.8</v>
      </c>
      <c r="Q86" s="117">
        <v>1.8</v>
      </c>
      <c r="R86" s="117">
        <v>1.8</v>
      </c>
      <c r="S86" s="117">
        <v>1.7</v>
      </c>
      <c r="T86" s="117">
        <v>1.7</v>
      </c>
      <c r="U86" s="117">
        <v>1.6</v>
      </c>
      <c r="V86" s="117">
        <v>1.6</v>
      </c>
      <c r="W86" s="117">
        <v>1.6</v>
      </c>
      <c r="X86" s="302"/>
      <c r="Y86" s="98"/>
      <c r="Z86" s="98"/>
      <c r="AA86" s="98"/>
    </row>
    <row r="87" spans="1:27" s="303" customFormat="1">
      <c r="A87" s="304" t="s">
        <v>239</v>
      </c>
      <c r="B87" s="148" t="s">
        <v>186</v>
      </c>
      <c r="C87" s="116" t="s">
        <v>27</v>
      </c>
      <c r="D87" s="117">
        <f>POWER(D36/D37,0.5)</f>
        <v>4.4885924605706755</v>
      </c>
      <c r="E87" s="117">
        <f t="shared" ref="E87:W87" si="35">POWER(E36/E37,0.5)</f>
        <v>6.1766963259844143</v>
      </c>
      <c r="F87" s="117">
        <f t="shared" si="35"/>
        <v>7.3929256586441259</v>
      </c>
      <c r="G87" s="117">
        <f t="shared" si="35"/>
        <v>8.3333333333333339</v>
      </c>
      <c r="H87" s="117">
        <f t="shared" si="35"/>
        <v>9.201206904792496</v>
      </c>
      <c r="I87" s="117">
        <f t="shared" si="35"/>
        <v>8.6736083311088876</v>
      </c>
      <c r="J87" s="117">
        <f t="shared" si="35"/>
        <v>9.308319103186621</v>
      </c>
      <c r="K87" s="117">
        <f t="shared" si="35"/>
        <v>9.8536095619410951</v>
      </c>
      <c r="L87" s="117">
        <f t="shared" si="35"/>
        <v>10.416666666666666</v>
      </c>
      <c r="M87" s="117">
        <f t="shared" si="35"/>
        <v>10.98013076447354</v>
      </c>
      <c r="N87" s="117">
        <f t="shared" si="35"/>
        <v>10.300275676521755</v>
      </c>
      <c r="O87" s="117">
        <f t="shared" si="35"/>
        <v>10.75828707279838</v>
      </c>
      <c r="P87" s="117">
        <f t="shared" si="35"/>
        <v>11.197580205970208</v>
      </c>
      <c r="Q87" s="117">
        <f t="shared" si="35"/>
        <v>11.620278146306605</v>
      </c>
      <c r="R87" s="117">
        <f t="shared" si="35"/>
        <v>12.028130608117204</v>
      </c>
      <c r="S87" s="117">
        <f t="shared" si="35"/>
        <v>12.422599874998832</v>
      </c>
      <c r="T87" s="117">
        <f t="shared" si="35"/>
        <v>12.804922857351233</v>
      </c>
      <c r="U87" s="117">
        <f t="shared" si="35"/>
        <v>13.176156917368248</v>
      </c>
      <c r="V87" s="117">
        <f t="shared" si="35"/>
        <v>13.537214367790227</v>
      </c>
      <c r="W87" s="117">
        <f t="shared" si="35"/>
        <v>13.888888888888889</v>
      </c>
      <c r="X87" s="302"/>
      <c r="Y87" s="98"/>
      <c r="Z87" s="98"/>
      <c r="AA87" s="98"/>
    </row>
    <row r="88" spans="1:27" s="303" customFormat="1">
      <c r="A88" s="304" t="s">
        <v>238</v>
      </c>
      <c r="B88" s="148" t="s">
        <v>187</v>
      </c>
      <c r="C88" s="116" t="s">
        <v>27</v>
      </c>
      <c r="D88" s="309">
        <v>10</v>
      </c>
      <c r="E88" s="309">
        <v>12</v>
      </c>
      <c r="F88" s="117">
        <f t="shared" ref="F88:W88" si="36">F86*F87</f>
        <v>13.307266185559428</v>
      </c>
      <c r="G88" s="117">
        <f t="shared" si="36"/>
        <v>15.000000000000002</v>
      </c>
      <c r="H88" s="117">
        <f t="shared" si="36"/>
        <v>16.562172428626493</v>
      </c>
      <c r="I88" s="117">
        <f t="shared" si="36"/>
        <v>15.612494995995998</v>
      </c>
      <c r="J88" s="117">
        <f t="shared" si="36"/>
        <v>16.754974385735917</v>
      </c>
      <c r="K88" s="117">
        <f t="shared" si="36"/>
        <v>17.736497211493973</v>
      </c>
      <c r="L88" s="117">
        <f t="shared" si="36"/>
        <v>18.75</v>
      </c>
      <c r="M88" s="117">
        <f t="shared" si="36"/>
        <v>19.764235376052373</v>
      </c>
      <c r="N88" s="117">
        <f t="shared" si="36"/>
        <v>18.540496217739161</v>
      </c>
      <c r="O88" s="117">
        <f t="shared" si="36"/>
        <v>19.364916731037084</v>
      </c>
      <c r="P88" s="117">
        <f t="shared" si="36"/>
        <v>20.155644370746376</v>
      </c>
      <c r="Q88" s="117">
        <f t="shared" si="36"/>
        <v>20.91650066335189</v>
      </c>
      <c r="R88" s="117">
        <f t="shared" si="36"/>
        <v>21.650635094610966</v>
      </c>
      <c r="S88" s="117">
        <f t="shared" si="36"/>
        <v>21.118419787498013</v>
      </c>
      <c r="T88" s="117">
        <f t="shared" si="36"/>
        <v>21.768368857497094</v>
      </c>
      <c r="U88" s="117">
        <f t="shared" si="36"/>
        <v>21.081851067789199</v>
      </c>
      <c r="V88" s="117">
        <f t="shared" si="36"/>
        <v>21.659542988464366</v>
      </c>
      <c r="W88" s="117">
        <f t="shared" si="36"/>
        <v>22.222222222222225</v>
      </c>
      <c r="X88" s="302"/>
      <c r="Y88" s="98"/>
      <c r="Z88" s="98"/>
      <c r="AA88" s="98"/>
    </row>
    <row r="89" spans="1:27" s="303" customFormat="1">
      <c r="A89" s="306"/>
      <c r="B89" s="308" t="s">
        <v>498</v>
      </c>
      <c r="C89" s="307"/>
      <c r="D89" s="302">
        <v>0.5</v>
      </c>
      <c r="E89" s="302">
        <v>0.5</v>
      </c>
      <c r="F89" s="302">
        <v>0.5</v>
      </c>
      <c r="G89" s="302">
        <v>0.5</v>
      </c>
      <c r="H89" s="302">
        <v>0.5</v>
      </c>
      <c r="I89" s="302">
        <v>0.5</v>
      </c>
      <c r="J89" s="302">
        <v>0.5</v>
      </c>
      <c r="K89" s="302">
        <v>0.5</v>
      </c>
      <c r="L89" s="302">
        <v>0.5</v>
      </c>
      <c r="M89" s="302">
        <v>0.5</v>
      </c>
      <c r="N89" s="302">
        <v>0.5</v>
      </c>
      <c r="O89" s="302">
        <v>0.5</v>
      </c>
      <c r="P89" s="302">
        <v>0.5</v>
      </c>
      <c r="Q89" s="302">
        <v>0.5</v>
      </c>
      <c r="R89" s="302">
        <v>0.5</v>
      </c>
      <c r="S89" s="302">
        <v>0.5</v>
      </c>
      <c r="T89" s="302">
        <v>0.5</v>
      </c>
      <c r="U89" s="302">
        <v>0.5</v>
      </c>
      <c r="V89" s="302">
        <v>0.5</v>
      </c>
      <c r="W89" s="302">
        <v>0.5</v>
      </c>
      <c r="X89" s="302"/>
      <c r="Y89" s="98"/>
      <c r="Z89" s="98"/>
      <c r="AA89" s="98"/>
    </row>
    <row r="90" spans="1:27">
      <c r="A90" s="310"/>
      <c r="B90" s="311" t="s">
        <v>496</v>
      </c>
      <c r="C90" s="310"/>
      <c r="D90" s="312">
        <f>E90</f>
        <v>2.4</v>
      </c>
      <c r="E90" s="312">
        <v>2.4</v>
      </c>
      <c r="F90" s="312">
        <v>2.4</v>
      </c>
      <c r="G90" s="312">
        <v>2.8000000000000003</v>
      </c>
      <c r="H90" s="312">
        <v>3.2</v>
      </c>
      <c r="I90" s="312">
        <v>3.6</v>
      </c>
      <c r="J90" s="312">
        <v>5.1000000000000005</v>
      </c>
      <c r="K90" s="312">
        <v>5.7</v>
      </c>
      <c r="L90" s="312">
        <v>5.7</v>
      </c>
      <c r="M90" s="312">
        <v>6.3000000000000007</v>
      </c>
      <c r="N90" s="312"/>
      <c r="O90" s="312">
        <v>6.9</v>
      </c>
      <c r="P90" s="312">
        <f>Q90</f>
        <v>7.8</v>
      </c>
      <c r="Q90" s="312">
        <v>7.8</v>
      </c>
      <c r="R90" s="312">
        <v>8.6000000000000014</v>
      </c>
      <c r="S90" s="312">
        <v>8.6000000000000014</v>
      </c>
      <c r="T90" s="312">
        <f>U90</f>
        <v>9.4</v>
      </c>
      <c r="U90" s="312">
        <v>9.4</v>
      </c>
      <c r="V90" s="312">
        <f>W90</f>
        <v>9.4</v>
      </c>
      <c r="W90" s="312">
        <v>9.4</v>
      </c>
    </row>
    <row r="91" spans="1:27">
      <c r="A91" s="310"/>
      <c r="B91" s="311" t="s">
        <v>499</v>
      </c>
      <c r="C91" s="310"/>
      <c r="D91" s="313">
        <f>D87+D89+D90</f>
        <v>7.3885924605706759</v>
      </c>
      <c r="E91" s="313">
        <f t="shared" ref="E91:W91" si="37">E87+E89+E90</f>
        <v>9.0766963259844147</v>
      </c>
      <c r="F91" s="313">
        <f t="shared" si="37"/>
        <v>10.292925658644126</v>
      </c>
      <c r="G91" s="313">
        <f t="shared" si="37"/>
        <v>11.633333333333335</v>
      </c>
      <c r="H91" s="313">
        <f t="shared" si="37"/>
        <v>12.901206904792495</v>
      </c>
      <c r="I91" s="313">
        <f t="shared" si="37"/>
        <v>12.773608331108887</v>
      </c>
      <c r="J91" s="313">
        <f t="shared" si="37"/>
        <v>14.908319103186621</v>
      </c>
      <c r="K91" s="313">
        <f t="shared" si="37"/>
        <v>16.053609561941094</v>
      </c>
      <c r="L91" s="313">
        <f t="shared" si="37"/>
        <v>16.616666666666667</v>
      </c>
      <c r="M91" s="313">
        <f t="shared" si="37"/>
        <v>17.78013076447354</v>
      </c>
      <c r="N91" s="313">
        <f t="shared" si="37"/>
        <v>10.800275676521755</v>
      </c>
      <c r="O91" s="313">
        <f t="shared" si="37"/>
        <v>18.15828707279838</v>
      </c>
      <c r="P91" s="313">
        <f t="shared" si="37"/>
        <v>19.497580205970209</v>
      </c>
      <c r="Q91" s="313">
        <f t="shared" si="37"/>
        <v>19.920278146306604</v>
      </c>
      <c r="R91" s="313">
        <f t="shared" si="37"/>
        <v>21.128130608117203</v>
      </c>
      <c r="S91" s="313">
        <f t="shared" si="37"/>
        <v>21.522599874998832</v>
      </c>
      <c r="T91" s="313">
        <f t="shared" si="37"/>
        <v>22.704922857351235</v>
      </c>
      <c r="U91" s="313">
        <f t="shared" si="37"/>
        <v>23.076156917368248</v>
      </c>
      <c r="V91" s="313">
        <f t="shared" si="37"/>
        <v>23.437214367790226</v>
      </c>
      <c r="W91" s="313">
        <f t="shared" si="37"/>
        <v>23.788888888888891</v>
      </c>
    </row>
    <row r="92" spans="1:27">
      <c r="A92" s="310"/>
      <c r="B92" s="311" t="s">
        <v>500</v>
      </c>
      <c r="C92" s="310"/>
      <c r="D92" s="313">
        <f>D88/D91</f>
        <v>1.3534377560225626</v>
      </c>
      <c r="E92" s="313">
        <f t="shared" ref="E92:W92" si="38">E88/E91</f>
        <v>1.3220669249060217</v>
      </c>
      <c r="F92" s="313">
        <f t="shared" si="38"/>
        <v>1.2928555618570723</v>
      </c>
      <c r="G92" s="313">
        <f t="shared" si="38"/>
        <v>1.2893982808022924</v>
      </c>
      <c r="H92" s="313">
        <f t="shared" si="38"/>
        <v>1.2837692280149413</v>
      </c>
      <c r="I92" s="313">
        <f t="shared" si="38"/>
        <v>1.222246258950439</v>
      </c>
      <c r="J92" s="313">
        <f t="shared" si="38"/>
        <v>1.123867437352785</v>
      </c>
      <c r="K92" s="313">
        <f t="shared" si="38"/>
        <v>1.104829237503232</v>
      </c>
      <c r="L92" s="313">
        <f t="shared" si="38"/>
        <v>1.1283851554663991</v>
      </c>
      <c r="M92" s="313">
        <f t="shared" si="38"/>
        <v>1.1115911147033446</v>
      </c>
      <c r="N92" s="313">
        <f t="shared" si="38"/>
        <v>1.7166687937460274</v>
      </c>
      <c r="O92" s="313">
        <f t="shared" si="38"/>
        <v>1.0664506323422032</v>
      </c>
      <c r="P92" s="313">
        <f t="shared" si="38"/>
        <v>1.0337510684825733</v>
      </c>
      <c r="Q92" s="313">
        <f t="shared" si="38"/>
        <v>1.0500104722297763</v>
      </c>
      <c r="R92" s="313">
        <f t="shared" si="38"/>
        <v>1.024730275299085</v>
      </c>
      <c r="S92" s="313">
        <f t="shared" si="38"/>
        <v>0.98122066619050408</v>
      </c>
      <c r="T92" s="313">
        <f t="shared" si="38"/>
        <v>0.95875106003494259</v>
      </c>
      <c r="U92" s="313">
        <f t="shared" si="38"/>
        <v>0.91357721059358732</v>
      </c>
      <c r="V92" s="313">
        <f t="shared" si="38"/>
        <v>0.92415176345492178</v>
      </c>
      <c r="W92" s="313">
        <f t="shared" si="38"/>
        <v>0.93414292386735176</v>
      </c>
    </row>
    <row r="93" spans="1:27" s="303" customFormat="1">
      <c r="A93" s="337"/>
      <c r="B93" s="338" t="s">
        <v>515</v>
      </c>
      <c r="C93" s="337"/>
      <c r="D93" s="303">
        <v>200</v>
      </c>
      <c r="E93" s="303">
        <v>200</v>
      </c>
      <c r="F93" s="303">
        <v>250</v>
      </c>
      <c r="G93" s="303">
        <v>300</v>
      </c>
      <c r="H93" s="303">
        <v>300</v>
      </c>
      <c r="I93" s="303">
        <v>300</v>
      </c>
      <c r="J93" s="303">
        <v>300</v>
      </c>
      <c r="K93" s="303">
        <v>350</v>
      </c>
      <c r="L93" s="303">
        <v>400</v>
      </c>
      <c r="M93" s="303">
        <v>400</v>
      </c>
      <c r="N93" s="303">
        <v>350</v>
      </c>
      <c r="O93" s="303">
        <v>350</v>
      </c>
      <c r="P93" s="303">
        <v>350</v>
      </c>
      <c r="Q93" s="303">
        <v>350</v>
      </c>
      <c r="R93" s="303">
        <v>400</v>
      </c>
      <c r="S93" s="303">
        <v>400</v>
      </c>
      <c r="T93" s="303">
        <v>400</v>
      </c>
      <c r="U93" s="303">
        <v>400</v>
      </c>
      <c r="V93" s="303">
        <v>500</v>
      </c>
      <c r="W93" s="303">
        <v>500</v>
      </c>
      <c r="X93" s="98"/>
      <c r="Y93" s="98"/>
      <c r="Z93" s="98"/>
      <c r="AA93" s="98"/>
    </row>
  </sheetData>
  <autoFilter ref="A1:A84" xr:uid="{00000000-0009-0000-0000-00000D000000}"/>
  <mergeCells count="2">
    <mergeCell ref="B14:B16"/>
    <mergeCell ref="Z1:Z9"/>
  </mergeCells>
  <phoneticPr fontId="12" type="noConversion"/>
  <pageMargins left="0.75" right="0.75" top="1" bottom="1" header="0.51180555555555551" footer="0.51180555555555551"/>
  <pageSetup paperSize="9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W53"/>
  <sheetViews>
    <sheetView topLeftCell="A7" zoomScale="85" zoomScaleNormal="85" workbookViewId="0">
      <selection activeCell="N43" sqref="N43"/>
    </sheetView>
  </sheetViews>
  <sheetFormatPr baseColWidth="10" defaultColWidth="8.83203125" defaultRowHeight="15"/>
  <cols>
    <col min="2" max="2" width="18.1640625" style="91" customWidth="1"/>
    <col min="3" max="3" width="5.1640625" customWidth="1"/>
    <col min="4" max="23" width="10.1640625" style="91" customWidth="1"/>
  </cols>
  <sheetData>
    <row r="1" spans="1:23">
      <c r="A1" s="246" t="s">
        <v>190</v>
      </c>
      <c r="B1" s="159" t="s">
        <v>11</v>
      </c>
      <c r="C1" s="160" t="s">
        <v>12</v>
      </c>
      <c r="D1" s="169">
        <v>10000</v>
      </c>
      <c r="E1" s="169">
        <v>20000</v>
      </c>
      <c r="F1" s="169">
        <v>30000</v>
      </c>
      <c r="G1" s="169">
        <v>40000</v>
      </c>
      <c r="H1" s="169">
        <v>50000</v>
      </c>
      <c r="I1" s="169">
        <v>60000</v>
      </c>
      <c r="J1" s="169">
        <v>70000</v>
      </c>
      <c r="K1" s="169">
        <v>80000</v>
      </c>
      <c r="L1" s="169">
        <v>90000</v>
      </c>
      <c r="M1" s="169">
        <v>100000</v>
      </c>
      <c r="N1" s="169">
        <v>110000</v>
      </c>
      <c r="O1" s="169">
        <v>120000</v>
      </c>
      <c r="P1" s="169">
        <v>130000</v>
      </c>
      <c r="Q1" s="169">
        <v>140000</v>
      </c>
      <c r="R1" s="169">
        <v>150000</v>
      </c>
      <c r="S1" s="169">
        <v>160000</v>
      </c>
      <c r="T1" s="169">
        <v>170000</v>
      </c>
      <c r="U1" s="169">
        <v>180000</v>
      </c>
      <c r="V1" s="169">
        <v>190000</v>
      </c>
      <c r="W1" s="169">
        <v>200000</v>
      </c>
    </row>
    <row r="2" spans="1:23">
      <c r="A2" s="122" t="s">
        <v>375</v>
      </c>
      <c r="B2" s="159" t="s">
        <v>15</v>
      </c>
      <c r="C2" s="160" t="s">
        <v>16</v>
      </c>
      <c r="D2" s="170">
        <v>416.66666666666669</v>
      </c>
      <c r="E2" s="170">
        <v>833.33333333333337</v>
      </c>
      <c r="F2" s="170">
        <v>1250</v>
      </c>
      <c r="G2" s="170">
        <v>1666.6666666666667</v>
      </c>
      <c r="H2" s="170">
        <v>2083.3333333333335</v>
      </c>
      <c r="I2" s="170">
        <v>2500</v>
      </c>
      <c r="J2" s="170">
        <v>2916.6666666666665</v>
      </c>
      <c r="K2" s="170">
        <v>3333.3333333333335</v>
      </c>
      <c r="L2" s="170">
        <v>3750</v>
      </c>
      <c r="M2" s="170">
        <v>4166.666666666667</v>
      </c>
      <c r="N2" s="170">
        <v>4583.333333333333</v>
      </c>
      <c r="O2" s="170">
        <v>5000</v>
      </c>
      <c r="P2" s="170">
        <v>5416.666666666667</v>
      </c>
      <c r="Q2" s="170">
        <v>5833.333333333333</v>
      </c>
      <c r="R2" s="170">
        <v>6250</v>
      </c>
      <c r="S2" s="170">
        <v>6666.666666666667</v>
      </c>
      <c r="T2" s="170">
        <v>7083.333333333333</v>
      </c>
      <c r="U2" s="170">
        <v>7500</v>
      </c>
      <c r="V2" s="170">
        <v>7916.666666666667</v>
      </c>
      <c r="W2" s="170">
        <v>8333.3333333333339</v>
      </c>
    </row>
    <row r="3" spans="1:23">
      <c r="A3" s="247" t="s">
        <v>376</v>
      </c>
      <c r="B3" s="159" t="s">
        <v>19</v>
      </c>
      <c r="C3" s="160" t="s">
        <v>16</v>
      </c>
      <c r="D3" s="170">
        <v>783.33333333333337</v>
      </c>
      <c r="E3" s="170">
        <v>1483.3333333333335</v>
      </c>
      <c r="F3" s="170">
        <v>2125</v>
      </c>
      <c r="G3" s="170">
        <v>2700.0000000000005</v>
      </c>
      <c r="H3" s="170">
        <v>3291.666666666667</v>
      </c>
      <c r="I3" s="170">
        <v>3900</v>
      </c>
      <c r="J3" s="170">
        <v>4491.666666666667</v>
      </c>
      <c r="K3" s="170">
        <v>5033.3333333333339</v>
      </c>
      <c r="L3" s="170">
        <v>5625</v>
      </c>
      <c r="M3" s="170">
        <v>6250</v>
      </c>
      <c r="N3" s="170">
        <v>6875</v>
      </c>
      <c r="O3" s="170">
        <v>7500</v>
      </c>
      <c r="P3" s="170">
        <v>8125</v>
      </c>
      <c r="Q3" s="170">
        <v>8750</v>
      </c>
      <c r="R3" s="170">
        <v>9375</v>
      </c>
      <c r="S3" s="170">
        <v>10000</v>
      </c>
      <c r="T3" s="170">
        <v>10625</v>
      </c>
      <c r="U3" s="170">
        <v>11250</v>
      </c>
      <c r="V3" s="170">
        <v>11875</v>
      </c>
      <c r="W3" s="170">
        <v>12500</v>
      </c>
    </row>
    <row r="4" spans="1:23">
      <c r="A4" s="160" t="s">
        <v>377</v>
      </c>
      <c r="B4" s="159" t="s">
        <v>20</v>
      </c>
      <c r="C4" s="160" t="s">
        <v>377</v>
      </c>
      <c r="D4" s="49">
        <v>3</v>
      </c>
      <c r="E4" s="49">
        <v>3</v>
      </c>
      <c r="F4" s="49">
        <v>3</v>
      </c>
      <c r="G4" s="49">
        <v>3</v>
      </c>
      <c r="H4" s="49">
        <v>3</v>
      </c>
      <c r="I4" s="49">
        <v>4</v>
      </c>
      <c r="J4" s="49">
        <v>4</v>
      </c>
      <c r="K4" s="49">
        <v>4</v>
      </c>
      <c r="L4" s="49">
        <v>4</v>
      </c>
      <c r="M4" s="49">
        <v>4</v>
      </c>
      <c r="N4" s="49">
        <v>5</v>
      </c>
      <c r="O4" s="49">
        <v>5</v>
      </c>
      <c r="P4" s="49">
        <v>5</v>
      </c>
      <c r="Q4" s="49">
        <v>5</v>
      </c>
      <c r="R4" s="49">
        <v>5</v>
      </c>
      <c r="S4" s="49">
        <v>5</v>
      </c>
      <c r="T4" s="49">
        <v>5</v>
      </c>
      <c r="U4" s="49">
        <v>5</v>
      </c>
      <c r="V4" s="49">
        <v>5</v>
      </c>
      <c r="W4" s="49">
        <v>5</v>
      </c>
    </row>
    <row r="5" spans="1:23">
      <c r="A5" s="160" t="s">
        <v>378</v>
      </c>
      <c r="B5" s="159" t="s">
        <v>22</v>
      </c>
      <c r="C5" s="160" t="s">
        <v>378</v>
      </c>
      <c r="D5" s="49">
        <v>1</v>
      </c>
      <c r="E5" s="49">
        <v>1</v>
      </c>
      <c r="F5" s="49">
        <v>1</v>
      </c>
      <c r="G5" s="49">
        <v>1</v>
      </c>
      <c r="H5" s="49">
        <v>1</v>
      </c>
      <c r="I5" s="49">
        <v>1</v>
      </c>
      <c r="J5" s="49">
        <v>1</v>
      </c>
      <c r="K5" s="49">
        <v>1</v>
      </c>
      <c r="L5" s="49">
        <v>1</v>
      </c>
      <c r="M5" s="49">
        <v>1</v>
      </c>
      <c r="N5" s="49">
        <v>2</v>
      </c>
      <c r="O5" s="49">
        <v>2</v>
      </c>
      <c r="P5" s="49">
        <v>2</v>
      </c>
      <c r="Q5" s="49">
        <v>2</v>
      </c>
      <c r="R5" s="49">
        <v>2</v>
      </c>
      <c r="S5" s="49">
        <v>2</v>
      </c>
      <c r="T5" s="49">
        <v>2</v>
      </c>
      <c r="U5" s="49">
        <v>2</v>
      </c>
      <c r="V5" s="49">
        <v>2</v>
      </c>
      <c r="W5" s="49">
        <v>2</v>
      </c>
    </row>
    <row r="6" spans="1:23">
      <c r="A6" s="160" t="s">
        <v>379</v>
      </c>
      <c r="B6" s="159" t="s">
        <v>380</v>
      </c>
      <c r="C6" s="160" t="s">
        <v>379</v>
      </c>
      <c r="D6" s="49">
        <v>4</v>
      </c>
      <c r="E6" s="49">
        <v>4</v>
      </c>
      <c r="F6" s="49">
        <v>4</v>
      </c>
      <c r="G6" s="49">
        <v>4</v>
      </c>
      <c r="H6" s="49">
        <v>4</v>
      </c>
      <c r="I6" s="49">
        <v>5</v>
      </c>
      <c r="J6" s="49">
        <v>5</v>
      </c>
      <c r="K6" s="49">
        <v>5</v>
      </c>
      <c r="L6" s="49">
        <v>5</v>
      </c>
      <c r="M6" s="49">
        <v>5</v>
      </c>
      <c r="N6" s="49">
        <v>7</v>
      </c>
      <c r="O6" s="49">
        <v>7</v>
      </c>
      <c r="P6" s="49">
        <v>7</v>
      </c>
      <c r="Q6" s="49">
        <v>7</v>
      </c>
      <c r="R6" s="49">
        <v>7</v>
      </c>
      <c r="S6" s="49">
        <v>7</v>
      </c>
      <c r="T6" s="49">
        <v>7</v>
      </c>
      <c r="U6" s="49">
        <v>7</v>
      </c>
      <c r="V6" s="49">
        <v>7</v>
      </c>
      <c r="W6" s="49">
        <v>7</v>
      </c>
    </row>
    <row r="7" spans="1:23">
      <c r="A7" s="160" t="s">
        <v>381</v>
      </c>
      <c r="B7" s="253" t="s">
        <v>382</v>
      </c>
      <c r="C7" s="121" t="s">
        <v>8</v>
      </c>
      <c r="D7" s="169">
        <v>5</v>
      </c>
      <c r="E7" s="169">
        <v>5</v>
      </c>
      <c r="F7" s="169">
        <v>5</v>
      </c>
      <c r="G7" s="169">
        <v>5</v>
      </c>
      <c r="H7" s="169">
        <v>5</v>
      </c>
      <c r="I7" s="169">
        <v>5</v>
      </c>
      <c r="J7" s="169">
        <v>5</v>
      </c>
      <c r="K7" s="169">
        <v>5</v>
      </c>
      <c r="L7" s="169">
        <v>5</v>
      </c>
      <c r="M7" s="169">
        <v>5</v>
      </c>
      <c r="N7" s="169">
        <v>5</v>
      </c>
      <c r="O7" s="169">
        <v>5</v>
      </c>
      <c r="P7" s="169">
        <v>5</v>
      </c>
      <c r="Q7" s="169">
        <v>5</v>
      </c>
      <c r="R7" s="169">
        <v>5</v>
      </c>
      <c r="S7" s="169">
        <v>5</v>
      </c>
      <c r="T7" s="169">
        <v>5</v>
      </c>
      <c r="U7" s="169">
        <v>5</v>
      </c>
      <c r="V7" s="169">
        <v>5</v>
      </c>
      <c r="W7" s="169">
        <v>5</v>
      </c>
    </row>
    <row r="8" spans="1:23">
      <c r="A8" s="160" t="s">
        <v>383</v>
      </c>
      <c r="B8" s="253" t="s">
        <v>384</v>
      </c>
      <c r="C8" s="121" t="s">
        <v>8</v>
      </c>
      <c r="D8" s="169">
        <v>8</v>
      </c>
      <c r="E8" s="169">
        <v>8</v>
      </c>
      <c r="F8" s="169">
        <v>8</v>
      </c>
      <c r="G8" s="169">
        <v>8</v>
      </c>
      <c r="H8" s="169">
        <v>8</v>
      </c>
      <c r="I8" s="169">
        <v>8</v>
      </c>
      <c r="J8" s="169">
        <v>8</v>
      </c>
      <c r="K8" s="169">
        <v>8</v>
      </c>
      <c r="L8" s="169">
        <v>8</v>
      </c>
      <c r="M8" s="169">
        <v>8</v>
      </c>
      <c r="N8" s="169">
        <v>8</v>
      </c>
      <c r="O8" s="169">
        <v>8</v>
      </c>
      <c r="P8" s="169">
        <v>8</v>
      </c>
      <c r="Q8" s="169">
        <v>8</v>
      </c>
      <c r="R8" s="169">
        <v>8</v>
      </c>
      <c r="S8" s="169">
        <v>8</v>
      </c>
      <c r="T8" s="169">
        <v>8</v>
      </c>
      <c r="U8" s="169">
        <v>8</v>
      </c>
      <c r="V8" s="169">
        <v>8</v>
      </c>
      <c r="W8" s="169">
        <v>8</v>
      </c>
    </row>
    <row r="9" spans="1:23">
      <c r="A9" s="160" t="s">
        <v>385</v>
      </c>
      <c r="B9" s="253" t="s">
        <v>386</v>
      </c>
      <c r="C9" s="121" t="s">
        <v>8</v>
      </c>
      <c r="D9" s="169">
        <v>12</v>
      </c>
      <c r="E9" s="169">
        <v>12</v>
      </c>
      <c r="F9" s="169">
        <v>12</v>
      </c>
      <c r="G9" s="169">
        <v>12</v>
      </c>
      <c r="H9" s="169">
        <v>12</v>
      </c>
      <c r="I9" s="169">
        <v>12</v>
      </c>
      <c r="J9" s="169">
        <v>12</v>
      </c>
      <c r="K9" s="169">
        <v>12</v>
      </c>
      <c r="L9" s="169">
        <v>12</v>
      </c>
      <c r="M9" s="169">
        <v>12</v>
      </c>
      <c r="N9" s="169">
        <v>12</v>
      </c>
      <c r="O9" s="169">
        <v>12</v>
      </c>
      <c r="P9" s="169">
        <v>12</v>
      </c>
      <c r="Q9" s="169">
        <v>12</v>
      </c>
      <c r="R9" s="169">
        <v>12</v>
      </c>
      <c r="S9" s="169">
        <v>12</v>
      </c>
      <c r="T9" s="169">
        <v>12</v>
      </c>
      <c r="U9" s="169">
        <v>12</v>
      </c>
      <c r="V9" s="169">
        <v>12</v>
      </c>
      <c r="W9" s="169">
        <v>12</v>
      </c>
    </row>
    <row r="10" spans="1:23">
      <c r="A10" s="160" t="s">
        <v>387</v>
      </c>
      <c r="B10" s="253" t="s">
        <v>388</v>
      </c>
      <c r="C10" s="121" t="s">
        <v>25</v>
      </c>
      <c r="D10" s="170">
        <v>7.5</v>
      </c>
      <c r="E10" s="170">
        <v>9</v>
      </c>
      <c r="F10" s="170">
        <v>15</v>
      </c>
      <c r="G10" s="170">
        <v>22</v>
      </c>
      <c r="H10" s="170">
        <v>22</v>
      </c>
      <c r="I10" s="170">
        <v>22</v>
      </c>
      <c r="J10" s="170">
        <v>30</v>
      </c>
      <c r="K10" s="170">
        <v>37</v>
      </c>
      <c r="L10" s="170">
        <v>40</v>
      </c>
      <c r="M10" s="170">
        <v>30</v>
      </c>
      <c r="N10" s="170">
        <v>37</v>
      </c>
      <c r="O10" s="170">
        <v>30</v>
      </c>
      <c r="P10" s="170">
        <v>40</v>
      </c>
      <c r="Q10" s="170">
        <v>40</v>
      </c>
      <c r="R10" s="170">
        <v>60</v>
      </c>
      <c r="S10" s="170">
        <v>60</v>
      </c>
      <c r="T10" s="170">
        <v>60</v>
      </c>
      <c r="U10" s="170">
        <v>40</v>
      </c>
      <c r="V10" s="170">
        <v>60</v>
      </c>
      <c r="W10" s="170">
        <v>60</v>
      </c>
    </row>
    <row r="11" spans="1:23">
      <c r="A11" s="160" t="s">
        <v>389</v>
      </c>
      <c r="B11" s="253" t="s">
        <v>390</v>
      </c>
      <c r="C11" s="121" t="s">
        <v>25</v>
      </c>
      <c r="D11" s="170">
        <v>7.5</v>
      </c>
      <c r="E11" s="170">
        <v>15</v>
      </c>
      <c r="F11" s="170">
        <v>22</v>
      </c>
      <c r="G11" s="170">
        <v>37</v>
      </c>
      <c r="H11" s="170">
        <v>37</v>
      </c>
      <c r="I11" s="170">
        <v>30</v>
      </c>
      <c r="J11" s="170">
        <v>45</v>
      </c>
      <c r="K11" s="170">
        <v>45</v>
      </c>
      <c r="L11" s="170">
        <v>60</v>
      </c>
      <c r="M11" s="170">
        <v>60</v>
      </c>
      <c r="N11" s="170">
        <v>40</v>
      </c>
      <c r="O11" s="170">
        <v>60</v>
      </c>
      <c r="P11" s="170">
        <v>90</v>
      </c>
      <c r="Q11" s="170">
        <v>60</v>
      </c>
      <c r="R11" s="170">
        <v>90</v>
      </c>
      <c r="S11" s="170">
        <v>90</v>
      </c>
      <c r="T11" s="170">
        <v>90</v>
      </c>
      <c r="U11" s="170">
        <v>90</v>
      </c>
      <c r="V11" s="170">
        <v>80</v>
      </c>
      <c r="W11" s="170">
        <v>80</v>
      </c>
    </row>
    <row r="12" spans="1:23">
      <c r="A12" s="160" t="s">
        <v>391</v>
      </c>
      <c r="B12" s="253" t="s">
        <v>392</v>
      </c>
      <c r="C12" s="121" t="s">
        <v>25</v>
      </c>
      <c r="D12" s="170">
        <v>13.5</v>
      </c>
      <c r="E12" s="170">
        <v>22</v>
      </c>
      <c r="F12" s="170">
        <v>45</v>
      </c>
      <c r="G12" s="170">
        <v>37</v>
      </c>
      <c r="H12" s="170">
        <v>45</v>
      </c>
      <c r="I12" s="170">
        <v>45</v>
      </c>
      <c r="J12" s="170">
        <v>55</v>
      </c>
      <c r="K12" s="170">
        <v>62</v>
      </c>
      <c r="L12" s="170">
        <v>75</v>
      </c>
      <c r="M12" s="170">
        <v>90</v>
      </c>
      <c r="N12" s="170">
        <v>90</v>
      </c>
      <c r="O12" s="170">
        <v>90</v>
      </c>
      <c r="P12" s="170">
        <v>90</v>
      </c>
      <c r="Q12" s="170">
        <v>90</v>
      </c>
      <c r="R12" s="170">
        <v>90</v>
      </c>
      <c r="S12" s="170">
        <v>90</v>
      </c>
      <c r="T12" s="170">
        <v>125</v>
      </c>
      <c r="U12" s="170">
        <v>125</v>
      </c>
      <c r="V12" s="170">
        <v>110</v>
      </c>
      <c r="W12" s="170">
        <v>110</v>
      </c>
    </row>
    <row r="13" spans="1:23">
      <c r="A13" s="160" t="s">
        <v>393</v>
      </c>
      <c r="B13" s="253" t="s">
        <v>394</v>
      </c>
      <c r="C13" s="121" t="s">
        <v>27</v>
      </c>
      <c r="D13" s="170">
        <v>0.5</v>
      </c>
      <c r="E13" s="170">
        <v>0.7</v>
      </c>
      <c r="F13" s="170">
        <v>0.8</v>
      </c>
      <c r="G13" s="170">
        <v>0.9</v>
      </c>
      <c r="H13" s="170">
        <v>1</v>
      </c>
      <c r="I13" s="170">
        <v>1</v>
      </c>
      <c r="J13" s="170">
        <v>1.1000000000000001</v>
      </c>
      <c r="K13" s="170">
        <v>1.2</v>
      </c>
      <c r="L13" s="170">
        <v>1.3</v>
      </c>
      <c r="M13" s="170">
        <v>1.3</v>
      </c>
      <c r="N13" s="170">
        <v>1.4</v>
      </c>
      <c r="O13" s="170">
        <v>1.5</v>
      </c>
      <c r="P13" s="170">
        <v>1.5</v>
      </c>
      <c r="Q13" s="170">
        <v>1.6</v>
      </c>
      <c r="R13" s="170">
        <v>1.6</v>
      </c>
      <c r="S13" s="170">
        <v>1.7</v>
      </c>
      <c r="T13" s="170">
        <v>1.7</v>
      </c>
      <c r="U13" s="170">
        <v>1.8</v>
      </c>
      <c r="V13" s="170">
        <v>1.8</v>
      </c>
      <c r="W13" s="170">
        <v>1.9</v>
      </c>
    </row>
    <row r="14" spans="1:23">
      <c r="A14" s="160" t="s">
        <v>395</v>
      </c>
      <c r="B14" s="160" t="s">
        <v>396</v>
      </c>
      <c r="C14" s="160" t="s">
        <v>395</v>
      </c>
      <c r="D14" s="170">
        <v>1</v>
      </c>
      <c r="E14" s="170">
        <v>1</v>
      </c>
      <c r="F14" s="170">
        <v>2</v>
      </c>
      <c r="G14" s="170">
        <v>2</v>
      </c>
      <c r="H14" s="170">
        <v>2</v>
      </c>
      <c r="I14" s="170">
        <v>3</v>
      </c>
      <c r="J14" s="170">
        <v>3</v>
      </c>
      <c r="K14" s="170">
        <v>3</v>
      </c>
      <c r="L14" s="170">
        <v>3</v>
      </c>
      <c r="M14" s="170">
        <v>3</v>
      </c>
      <c r="N14" s="170">
        <v>5</v>
      </c>
      <c r="O14" s="170">
        <v>5</v>
      </c>
      <c r="P14" s="170">
        <v>5</v>
      </c>
      <c r="Q14" s="170">
        <v>5</v>
      </c>
      <c r="R14" s="170">
        <v>5</v>
      </c>
      <c r="S14" s="170">
        <v>5</v>
      </c>
      <c r="T14" s="170">
        <v>5</v>
      </c>
      <c r="U14" s="170">
        <v>5</v>
      </c>
      <c r="V14" s="170">
        <v>5</v>
      </c>
      <c r="W14" s="170">
        <v>5</v>
      </c>
    </row>
    <row r="15" spans="1:23">
      <c r="A15" s="160" t="s">
        <v>397</v>
      </c>
      <c r="B15" s="160" t="s">
        <v>398</v>
      </c>
      <c r="C15" s="160" t="s">
        <v>25</v>
      </c>
      <c r="D15" s="170" t="s">
        <v>399</v>
      </c>
      <c r="E15" s="170" t="s">
        <v>399</v>
      </c>
      <c r="F15" s="170" t="s">
        <v>400</v>
      </c>
      <c r="G15" s="170" t="s">
        <v>400</v>
      </c>
      <c r="H15" s="170" t="s">
        <v>400</v>
      </c>
      <c r="I15" s="170" t="s">
        <v>401</v>
      </c>
      <c r="J15" s="170" t="s">
        <v>401</v>
      </c>
      <c r="K15" s="170" t="s">
        <v>401</v>
      </c>
      <c r="L15" s="170" t="s">
        <v>401</v>
      </c>
      <c r="M15" s="170" t="s">
        <v>401</v>
      </c>
      <c r="N15" s="170" t="s">
        <v>402</v>
      </c>
      <c r="O15" s="170" t="s">
        <v>402</v>
      </c>
      <c r="P15" s="170" t="s">
        <v>402</v>
      </c>
      <c r="Q15" s="170" t="s">
        <v>402</v>
      </c>
      <c r="R15" s="170" t="s">
        <v>402</v>
      </c>
      <c r="S15" s="170" t="s">
        <v>402</v>
      </c>
      <c r="T15" s="170" t="s">
        <v>402</v>
      </c>
      <c r="U15" s="170" t="s">
        <v>402</v>
      </c>
      <c r="V15" s="170" t="s">
        <v>402</v>
      </c>
      <c r="W15" s="170" t="s">
        <v>402</v>
      </c>
    </row>
    <row r="16" spans="1:23">
      <c r="A16" s="160" t="s">
        <v>403</v>
      </c>
      <c r="B16" s="253" t="s">
        <v>404</v>
      </c>
      <c r="C16" s="121" t="s">
        <v>27</v>
      </c>
      <c r="D16" s="169">
        <v>0.3</v>
      </c>
      <c r="E16" s="169">
        <v>0.4</v>
      </c>
      <c r="F16" s="169">
        <v>0.45</v>
      </c>
      <c r="G16" s="169">
        <v>0.6</v>
      </c>
      <c r="H16" s="169">
        <v>0.6</v>
      </c>
      <c r="I16" s="169">
        <v>0.6</v>
      </c>
      <c r="J16" s="169">
        <v>0.6</v>
      </c>
      <c r="K16" s="169">
        <v>0.6</v>
      </c>
      <c r="L16" s="169">
        <v>0.7</v>
      </c>
      <c r="M16" s="169">
        <v>0.7</v>
      </c>
      <c r="N16" s="169">
        <v>0.7</v>
      </c>
      <c r="O16" s="169">
        <v>0.7</v>
      </c>
      <c r="P16" s="169">
        <v>0.7</v>
      </c>
      <c r="Q16" s="169">
        <v>0.8</v>
      </c>
      <c r="R16" s="169">
        <v>0.8</v>
      </c>
      <c r="S16" s="169">
        <v>0.8</v>
      </c>
      <c r="T16" s="169">
        <v>0.8</v>
      </c>
      <c r="U16" s="169">
        <v>0.8</v>
      </c>
      <c r="V16" s="169">
        <v>0.9</v>
      </c>
      <c r="W16" s="169">
        <v>0.9</v>
      </c>
    </row>
    <row r="17" spans="1:23">
      <c r="A17" s="122" t="s">
        <v>32</v>
      </c>
      <c r="B17" s="150" t="s">
        <v>31</v>
      </c>
      <c r="C17" s="121" t="s">
        <v>32</v>
      </c>
      <c r="D17" s="169">
        <v>1.2</v>
      </c>
      <c r="E17" s="169">
        <v>1.2</v>
      </c>
      <c r="F17" s="169">
        <v>1.2</v>
      </c>
      <c r="G17" s="169">
        <v>1.2</v>
      </c>
      <c r="H17" s="169">
        <v>1.2</v>
      </c>
      <c r="I17" s="169">
        <v>1.2</v>
      </c>
      <c r="J17" s="169">
        <v>1.2</v>
      </c>
      <c r="K17" s="169">
        <v>1.2</v>
      </c>
      <c r="L17" s="169">
        <v>1.2</v>
      </c>
      <c r="M17" s="169">
        <v>1.2</v>
      </c>
      <c r="N17" s="169">
        <v>1.2</v>
      </c>
      <c r="O17" s="169">
        <v>1.2</v>
      </c>
      <c r="P17" s="169">
        <v>1.2</v>
      </c>
      <c r="Q17" s="169">
        <v>1.2</v>
      </c>
      <c r="R17" s="169">
        <v>1.2</v>
      </c>
      <c r="S17" s="169">
        <v>1.2</v>
      </c>
      <c r="T17" s="169">
        <v>1.2</v>
      </c>
      <c r="U17" s="169">
        <v>1.2</v>
      </c>
      <c r="V17" s="169">
        <v>1.2</v>
      </c>
      <c r="W17" s="169">
        <v>1.2</v>
      </c>
    </row>
    <row r="18" spans="1:23">
      <c r="A18" s="122" t="s">
        <v>34</v>
      </c>
      <c r="B18" s="150" t="s">
        <v>33</v>
      </c>
      <c r="C18" s="121" t="s">
        <v>34</v>
      </c>
      <c r="D18" s="169">
        <v>0.7</v>
      </c>
      <c r="E18" s="169">
        <v>0.9</v>
      </c>
      <c r="F18" s="169">
        <v>0.9</v>
      </c>
      <c r="G18" s="169">
        <v>0.9</v>
      </c>
      <c r="H18" s="169">
        <v>1</v>
      </c>
      <c r="I18" s="169">
        <v>1</v>
      </c>
      <c r="J18" s="169">
        <v>1</v>
      </c>
      <c r="K18" s="169">
        <v>1</v>
      </c>
      <c r="L18" s="169">
        <v>1.1000000000000001</v>
      </c>
      <c r="M18" s="169">
        <v>1.2</v>
      </c>
      <c r="N18" s="169">
        <v>1</v>
      </c>
      <c r="O18" s="169">
        <v>1.2</v>
      </c>
      <c r="P18" s="169">
        <v>1.2</v>
      </c>
      <c r="Q18" s="169">
        <v>1.2</v>
      </c>
      <c r="R18" s="169">
        <v>1.2</v>
      </c>
      <c r="S18" s="169">
        <v>1.2</v>
      </c>
      <c r="T18" s="169">
        <v>1.4</v>
      </c>
      <c r="U18" s="169">
        <v>1.4</v>
      </c>
      <c r="V18" s="169">
        <v>1.4</v>
      </c>
      <c r="W18" s="169">
        <v>1.4</v>
      </c>
    </row>
    <row r="19" spans="1:23">
      <c r="A19" s="122" t="s">
        <v>36</v>
      </c>
      <c r="B19" s="150" t="s">
        <v>35</v>
      </c>
      <c r="C19" s="121" t="s">
        <v>36</v>
      </c>
      <c r="D19" s="169">
        <v>0.3</v>
      </c>
      <c r="E19" s="169">
        <v>0.3</v>
      </c>
      <c r="F19" s="169">
        <v>0.3</v>
      </c>
      <c r="G19" s="169">
        <v>0.3</v>
      </c>
      <c r="H19" s="169">
        <v>0.3</v>
      </c>
      <c r="I19" s="169">
        <v>0.3</v>
      </c>
      <c r="J19" s="169">
        <v>0.3</v>
      </c>
      <c r="K19" s="169">
        <v>0.3</v>
      </c>
      <c r="L19" s="169">
        <v>0.3</v>
      </c>
      <c r="M19" s="169">
        <v>0.3</v>
      </c>
      <c r="N19" s="169">
        <v>0.3</v>
      </c>
      <c r="O19" s="169">
        <v>0.3</v>
      </c>
      <c r="P19" s="169">
        <v>0.3</v>
      </c>
      <c r="Q19" s="169">
        <v>0.3</v>
      </c>
      <c r="R19" s="169">
        <v>0.3</v>
      </c>
      <c r="S19" s="169">
        <v>0.3</v>
      </c>
      <c r="T19" s="169">
        <v>0.3</v>
      </c>
      <c r="U19" s="169">
        <v>0.3</v>
      </c>
      <c r="V19" s="169">
        <v>0.3</v>
      </c>
      <c r="W19" s="169">
        <v>0.3</v>
      </c>
    </row>
    <row r="20" spans="1:23">
      <c r="A20" s="122" t="s">
        <v>257</v>
      </c>
      <c r="B20" s="254" t="s">
        <v>405</v>
      </c>
      <c r="C20" s="121" t="s">
        <v>257</v>
      </c>
      <c r="D20" s="169" t="s">
        <v>406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</row>
    <row r="21" spans="1:23">
      <c r="A21" s="122" t="s">
        <v>37</v>
      </c>
      <c r="B21" s="255" t="s">
        <v>407</v>
      </c>
      <c r="C21" s="121" t="s">
        <v>37</v>
      </c>
      <c r="D21" s="176">
        <v>9.1999999999999993</v>
      </c>
      <c r="E21" s="176">
        <v>9.4</v>
      </c>
      <c r="F21" s="176">
        <v>9.4</v>
      </c>
      <c r="G21" s="176">
        <v>9.4</v>
      </c>
      <c r="H21" s="176">
        <v>9.5</v>
      </c>
      <c r="I21" s="176">
        <v>9.5</v>
      </c>
      <c r="J21" s="176">
        <v>9.5</v>
      </c>
      <c r="K21" s="176">
        <v>9.5</v>
      </c>
      <c r="L21" s="176">
        <v>9.6</v>
      </c>
      <c r="M21" s="176">
        <v>9.6999999999999993</v>
      </c>
      <c r="N21" s="176">
        <v>9.5</v>
      </c>
      <c r="O21" s="176">
        <v>9.6999999999999993</v>
      </c>
      <c r="P21" s="176">
        <v>9.6999999999999993</v>
      </c>
      <c r="Q21" s="176">
        <v>9.6999999999999993</v>
      </c>
      <c r="R21" s="176">
        <v>9.6999999999999993</v>
      </c>
      <c r="S21" s="176">
        <v>9.6999999999999993</v>
      </c>
      <c r="T21" s="176">
        <v>9.8999999999999986</v>
      </c>
      <c r="U21" s="176">
        <v>9.8999999999999986</v>
      </c>
      <c r="V21" s="176">
        <v>9.8999999999999986</v>
      </c>
      <c r="W21" s="176">
        <v>9.8999999999999986</v>
      </c>
    </row>
    <row r="22" spans="1:23">
      <c r="A22" s="122" t="s">
        <v>408</v>
      </c>
      <c r="B22" s="149" t="s">
        <v>409</v>
      </c>
      <c r="C22" s="121" t="s">
        <v>27</v>
      </c>
      <c r="D22" s="176">
        <v>9.1999999999999993</v>
      </c>
      <c r="E22" s="176">
        <v>9.4</v>
      </c>
      <c r="F22" s="176">
        <v>9.4</v>
      </c>
      <c r="G22" s="176">
        <v>9.4</v>
      </c>
      <c r="H22" s="176">
        <v>9.5</v>
      </c>
      <c r="I22" s="176">
        <v>9.5</v>
      </c>
      <c r="J22" s="176">
        <v>9.5</v>
      </c>
      <c r="K22" s="176">
        <v>9.5</v>
      </c>
      <c r="L22" s="176">
        <v>9.6</v>
      </c>
      <c r="M22" s="176">
        <v>9.6999999999999993</v>
      </c>
      <c r="N22" s="176">
        <v>9.5</v>
      </c>
      <c r="O22" s="176">
        <v>9.6999999999999993</v>
      </c>
      <c r="P22" s="176">
        <v>9.6999999999999993</v>
      </c>
      <c r="Q22" s="176">
        <v>9.6999999999999993</v>
      </c>
      <c r="R22" s="176">
        <v>9.6999999999999993</v>
      </c>
      <c r="S22" s="176">
        <v>9.6999999999999993</v>
      </c>
      <c r="T22" s="176">
        <v>9.8999999999999986</v>
      </c>
      <c r="U22" s="176">
        <v>9.8999999999999986</v>
      </c>
      <c r="V22" s="176">
        <v>9.8999999999999986</v>
      </c>
      <c r="W22" s="176">
        <v>9.8999999999999986</v>
      </c>
    </row>
    <row r="23" spans="1:23">
      <c r="A23" s="122" t="s">
        <v>410</v>
      </c>
      <c r="B23" s="149" t="s">
        <v>411</v>
      </c>
      <c r="C23" s="121" t="s">
        <v>27</v>
      </c>
      <c r="D23" s="133">
        <v>1.0314814814814814</v>
      </c>
      <c r="E23" s="133">
        <v>0.96296296296296302</v>
      </c>
      <c r="F23" s="133">
        <v>0.99444444444444446</v>
      </c>
      <c r="G23" s="133">
        <v>1.0259259259259259</v>
      </c>
      <c r="H23" s="133">
        <v>1.1574074074074074</v>
      </c>
      <c r="I23" s="133">
        <v>1.3888888888888888</v>
      </c>
      <c r="J23" s="133">
        <v>1.6203703703703702</v>
      </c>
      <c r="K23" s="133">
        <v>1.8518518518518519</v>
      </c>
      <c r="L23" s="133">
        <v>2.0833333333333335</v>
      </c>
      <c r="M23" s="133">
        <v>2.3148148148148149</v>
      </c>
      <c r="N23" s="133">
        <v>1.6975308641975309</v>
      </c>
      <c r="O23" s="133">
        <v>1.8518518518518519</v>
      </c>
      <c r="P23" s="133">
        <v>2.0061728395061729</v>
      </c>
      <c r="Q23" s="133">
        <v>2.1604938271604937</v>
      </c>
      <c r="R23" s="133">
        <v>2.3148148148148149</v>
      </c>
      <c r="S23" s="133">
        <v>2.4691358024691357</v>
      </c>
      <c r="T23" s="133">
        <v>2.6234567901234569</v>
      </c>
      <c r="U23" s="133">
        <v>2.7777777777777781</v>
      </c>
      <c r="V23" s="133">
        <v>2.9320987654320985</v>
      </c>
      <c r="W23" s="133">
        <v>3.0864197530864197</v>
      </c>
    </row>
    <row r="24" spans="1:23">
      <c r="A24" s="122" t="s">
        <v>412</v>
      </c>
      <c r="B24" s="149" t="s">
        <v>413</v>
      </c>
      <c r="C24" s="121" t="s">
        <v>21</v>
      </c>
      <c r="D24" s="177">
        <v>1.5</v>
      </c>
      <c r="E24" s="177">
        <v>1.5</v>
      </c>
      <c r="F24" s="177">
        <v>1.5</v>
      </c>
      <c r="G24" s="177">
        <v>1.7</v>
      </c>
      <c r="H24" s="177">
        <v>1.9</v>
      </c>
      <c r="I24" s="177">
        <v>2</v>
      </c>
      <c r="J24" s="177">
        <v>2.1</v>
      </c>
      <c r="K24" s="177">
        <v>2.2000000000000002</v>
      </c>
      <c r="L24" s="177">
        <v>2.2999999999999998</v>
      </c>
      <c r="M24" s="177">
        <v>2.4</v>
      </c>
      <c r="N24" s="177">
        <v>2.5</v>
      </c>
      <c r="O24" s="177">
        <v>2.6</v>
      </c>
      <c r="P24" s="177">
        <v>2.7</v>
      </c>
      <c r="Q24" s="177">
        <v>2.8</v>
      </c>
      <c r="R24" s="177">
        <v>2.9</v>
      </c>
      <c r="S24" s="177">
        <v>3</v>
      </c>
      <c r="T24" s="177">
        <v>3.1</v>
      </c>
      <c r="U24" s="177">
        <v>3.2</v>
      </c>
      <c r="V24" s="177">
        <v>3.3</v>
      </c>
      <c r="W24" s="177">
        <v>3.4</v>
      </c>
    </row>
    <row r="25" spans="1:23">
      <c r="A25" s="122" t="s">
        <v>93</v>
      </c>
      <c r="B25" s="149" t="s">
        <v>414</v>
      </c>
      <c r="C25" s="121" t="s">
        <v>27</v>
      </c>
      <c r="D25" s="177">
        <v>5</v>
      </c>
      <c r="E25" s="177">
        <v>5</v>
      </c>
      <c r="F25" s="177">
        <v>5</v>
      </c>
      <c r="G25" s="177">
        <v>5</v>
      </c>
      <c r="H25" s="177">
        <v>5</v>
      </c>
      <c r="I25" s="177">
        <v>5</v>
      </c>
      <c r="J25" s="177">
        <v>5</v>
      </c>
      <c r="K25" s="177">
        <v>5</v>
      </c>
      <c r="L25" s="177">
        <v>5</v>
      </c>
      <c r="M25" s="177">
        <v>5</v>
      </c>
      <c r="N25" s="177">
        <v>5</v>
      </c>
      <c r="O25" s="177">
        <v>5</v>
      </c>
      <c r="P25" s="177">
        <v>5</v>
      </c>
      <c r="Q25" s="177">
        <v>5</v>
      </c>
      <c r="R25" s="177">
        <v>5</v>
      </c>
      <c r="S25" s="177">
        <v>5</v>
      </c>
      <c r="T25" s="177">
        <v>5</v>
      </c>
      <c r="U25" s="177">
        <v>5</v>
      </c>
      <c r="V25" s="177">
        <v>5</v>
      </c>
      <c r="W25" s="177">
        <v>5</v>
      </c>
    </row>
    <row r="26" spans="1:23">
      <c r="A26" s="173" t="s">
        <v>415</v>
      </c>
      <c r="B26" s="173" t="s">
        <v>416</v>
      </c>
      <c r="C26" s="173" t="s">
        <v>21</v>
      </c>
      <c r="D26" s="329">
        <v>4</v>
      </c>
      <c r="E26" s="329">
        <v>4</v>
      </c>
      <c r="F26" s="329">
        <v>4</v>
      </c>
      <c r="G26" s="329">
        <v>4</v>
      </c>
      <c r="H26" s="329">
        <v>4</v>
      </c>
      <c r="I26" s="329">
        <v>5</v>
      </c>
      <c r="J26" s="329">
        <v>5</v>
      </c>
      <c r="K26" s="329">
        <v>5</v>
      </c>
      <c r="L26" s="329">
        <v>5</v>
      </c>
      <c r="M26" s="329">
        <v>5</v>
      </c>
      <c r="N26" s="329">
        <v>7</v>
      </c>
      <c r="O26" s="329">
        <v>7</v>
      </c>
      <c r="P26" s="329">
        <v>7</v>
      </c>
      <c r="Q26" s="329">
        <v>7</v>
      </c>
      <c r="R26" s="329">
        <v>7</v>
      </c>
      <c r="S26" s="329">
        <v>7</v>
      </c>
      <c r="T26" s="329">
        <v>7</v>
      </c>
      <c r="U26" s="329">
        <v>7</v>
      </c>
      <c r="V26" s="329">
        <v>7</v>
      </c>
      <c r="W26" s="329">
        <v>7</v>
      </c>
    </row>
    <row r="27" spans="1:23">
      <c r="A27" s="122" t="s">
        <v>417</v>
      </c>
      <c r="B27" s="173" t="s">
        <v>418</v>
      </c>
      <c r="C27" s="121" t="s">
        <v>27</v>
      </c>
      <c r="D27" s="176">
        <v>0.35</v>
      </c>
      <c r="E27" s="176">
        <v>0.45</v>
      </c>
      <c r="F27" s="176">
        <v>0.6</v>
      </c>
      <c r="G27" s="176">
        <v>0.6</v>
      </c>
      <c r="H27" s="176">
        <v>0.7</v>
      </c>
      <c r="I27" s="176">
        <v>0.7</v>
      </c>
      <c r="J27" s="176">
        <v>0.7</v>
      </c>
      <c r="K27" s="176">
        <v>0.8</v>
      </c>
      <c r="L27" s="176">
        <v>0.8</v>
      </c>
      <c r="M27" s="176">
        <v>0.85</v>
      </c>
      <c r="N27" s="176">
        <v>0.75</v>
      </c>
      <c r="O27" s="176">
        <v>0.8</v>
      </c>
      <c r="P27" s="176">
        <v>0.8</v>
      </c>
      <c r="Q27" s="176">
        <v>0.85</v>
      </c>
      <c r="R27" s="176">
        <v>0.9</v>
      </c>
      <c r="S27" s="176">
        <v>0.9</v>
      </c>
      <c r="T27" s="176">
        <v>0.95</v>
      </c>
      <c r="U27" s="176">
        <v>0.95</v>
      </c>
      <c r="V27" s="176">
        <v>1</v>
      </c>
      <c r="W27" s="176">
        <v>1</v>
      </c>
    </row>
    <row r="28" spans="1:23">
      <c r="A28" s="122" t="s">
        <v>358</v>
      </c>
      <c r="B28" s="149" t="s">
        <v>354</v>
      </c>
      <c r="C28" s="121" t="s">
        <v>134</v>
      </c>
      <c r="D28" s="176">
        <v>2</v>
      </c>
      <c r="E28" s="176">
        <v>2</v>
      </c>
      <c r="F28" s="176">
        <v>2</v>
      </c>
      <c r="G28" s="176">
        <v>2</v>
      </c>
      <c r="H28" s="176">
        <v>2</v>
      </c>
      <c r="I28" s="176">
        <v>2</v>
      </c>
      <c r="J28" s="176">
        <v>2</v>
      </c>
      <c r="K28" s="176">
        <v>2</v>
      </c>
      <c r="L28" s="176">
        <v>2</v>
      </c>
      <c r="M28" s="176">
        <v>2</v>
      </c>
      <c r="N28" s="176">
        <v>3</v>
      </c>
      <c r="O28" s="176">
        <v>3</v>
      </c>
      <c r="P28" s="176">
        <v>3</v>
      </c>
      <c r="Q28" s="176">
        <v>3</v>
      </c>
      <c r="R28" s="176">
        <v>3</v>
      </c>
      <c r="S28" s="176">
        <v>3</v>
      </c>
      <c r="T28" s="176">
        <v>3</v>
      </c>
      <c r="U28" s="176">
        <v>3</v>
      </c>
      <c r="V28" s="176">
        <v>3</v>
      </c>
      <c r="W28" s="176">
        <v>3</v>
      </c>
    </row>
    <row r="29" spans="1:23">
      <c r="A29" s="122" t="s">
        <v>360</v>
      </c>
      <c r="B29" s="149" t="s">
        <v>356</v>
      </c>
      <c r="C29" s="121" t="s">
        <v>134</v>
      </c>
      <c r="D29" s="176">
        <v>1</v>
      </c>
      <c r="E29" s="176">
        <v>1</v>
      </c>
      <c r="F29" s="176">
        <v>2</v>
      </c>
      <c r="G29" s="176">
        <v>2</v>
      </c>
      <c r="H29" s="176">
        <v>2</v>
      </c>
      <c r="I29" s="176">
        <v>3</v>
      </c>
      <c r="J29" s="176">
        <v>3</v>
      </c>
      <c r="K29" s="176">
        <v>3</v>
      </c>
      <c r="L29" s="176">
        <v>3</v>
      </c>
      <c r="M29" s="176">
        <v>3</v>
      </c>
      <c r="N29" s="176">
        <v>4</v>
      </c>
      <c r="O29" s="176">
        <v>4</v>
      </c>
      <c r="P29" s="176">
        <v>4</v>
      </c>
      <c r="Q29" s="176">
        <v>4</v>
      </c>
      <c r="R29" s="176">
        <v>4</v>
      </c>
      <c r="S29" s="176">
        <v>4</v>
      </c>
      <c r="T29" s="176">
        <v>4</v>
      </c>
      <c r="U29" s="176">
        <v>4</v>
      </c>
      <c r="V29" s="176">
        <v>4</v>
      </c>
      <c r="W29" s="176">
        <v>4</v>
      </c>
    </row>
    <row r="30" spans="1:23">
      <c r="A30" s="122" t="s">
        <v>362</v>
      </c>
      <c r="B30" s="149" t="s">
        <v>370</v>
      </c>
      <c r="C30" s="121" t="s">
        <v>27</v>
      </c>
      <c r="D30" s="330">
        <v>6.3999999999999995</v>
      </c>
      <c r="E30" s="330">
        <v>7.7333333333333325</v>
      </c>
      <c r="F30" s="330">
        <v>6.5</v>
      </c>
      <c r="G30" s="330">
        <v>7.4</v>
      </c>
      <c r="H30" s="330">
        <v>8.3000000000000007</v>
      </c>
      <c r="I30" s="330">
        <v>6.28</v>
      </c>
      <c r="J30" s="330">
        <v>6.6400000000000006</v>
      </c>
      <c r="K30" s="330">
        <v>7</v>
      </c>
      <c r="L30" s="330">
        <v>7.3600000000000012</v>
      </c>
      <c r="M30" s="330">
        <v>7.7200000000000006</v>
      </c>
      <c r="N30" s="330">
        <v>7.8428571428571425</v>
      </c>
      <c r="O30" s="330">
        <v>8.2285714285714278</v>
      </c>
      <c r="P30" s="330">
        <v>8.6142857142857121</v>
      </c>
      <c r="Q30" s="330">
        <v>9</v>
      </c>
      <c r="R30" s="330">
        <v>9.3857142857142843</v>
      </c>
      <c r="S30" s="330">
        <v>9.3857142857142843</v>
      </c>
      <c r="T30" s="330">
        <v>9.7714285714285705</v>
      </c>
      <c r="U30" s="330">
        <v>10.157142857142857</v>
      </c>
      <c r="V30" s="330">
        <v>10.542857142857141</v>
      </c>
      <c r="W30" s="330">
        <v>10.542857142857141</v>
      </c>
    </row>
    <row r="31" spans="1:23">
      <c r="A31" s="122" t="s">
        <v>364</v>
      </c>
      <c r="B31" s="149" t="s">
        <v>372</v>
      </c>
      <c r="C31" s="121" t="s">
        <v>27</v>
      </c>
      <c r="D31" s="330">
        <v>3.2000000000000006</v>
      </c>
      <c r="E31" s="330">
        <v>3.8666666666666676</v>
      </c>
      <c r="F31" s="330">
        <v>6.5</v>
      </c>
      <c r="G31" s="330">
        <v>7.4</v>
      </c>
      <c r="H31" s="330">
        <v>8.3000000000000007</v>
      </c>
      <c r="I31" s="330">
        <v>9.4199999999999982</v>
      </c>
      <c r="J31" s="330">
        <v>9.9600000000000009</v>
      </c>
      <c r="K31" s="330">
        <v>10.5</v>
      </c>
      <c r="L31" s="330">
        <v>11.040000000000001</v>
      </c>
      <c r="M31" s="330">
        <v>11.58</v>
      </c>
      <c r="N31" s="330">
        <v>10.457142857142861</v>
      </c>
      <c r="O31" s="330">
        <v>10.971428571428573</v>
      </c>
      <c r="P31" s="330">
        <v>11.485714285714288</v>
      </c>
      <c r="Q31" s="330">
        <v>12.000000000000002</v>
      </c>
      <c r="R31" s="330">
        <v>12.514285714285716</v>
      </c>
      <c r="S31" s="330">
        <v>12.514285714285716</v>
      </c>
      <c r="T31" s="330">
        <v>13.028571428571432</v>
      </c>
      <c r="U31" s="330">
        <v>13.542857142857144</v>
      </c>
      <c r="V31" s="330">
        <v>14.057142857142859</v>
      </c>
      <c r="W31" s="330">
        <v>14.057142857142859</v>
      </c>
    </row>
    <row r="32" spans="1:23">
      <c r="A32" s="122" t="s">
        <v>366</v>
      </c>
      <c r="B32" s="149" t="s">
        <v>368</v>
      </c>
      <c r="C32" s="121" t="s">
        <v>27</v>
      </c>
      <c r="D32" s="330">
        <v>0.4</v>
      </c>
      <c r="E32" s="330">
        <v>0.4</v>
      </c>
      <c r="F32" s="330">
        <v>0.5</v>
      </c>
      <c r="G32" s="330">
        <v>0.5</v>
      </c>
      <c r="H32" s="330">
        <v>0.5</v>
      </c>
      <c r="I32" s="330">
        <v>0.5</v>
      </c>
      <c r="J32" s="330">
        <v>0.5</v>
      </c>
      <c r="K32" s="330">
        <v>0.5</v>
      </c>
      <c r="L32" s="330">
        <v>0.5</v>
      </c>
      <c r="M32" s="330">
        <v>0.5</v>
      </c>
      <c r="N32" s="330">
        <v>0.6</v>
      </c>
      <c r="O32" s="330">
        <v>0.6</v>
      </c>
      <c r="P32" s="330">
        <v>0.6</v>
      </c>
      <c r="Q32" s="330">
        <v>0.6</v>
      </c>
      <c r="R32" s="330">
        <v>0.6</v>
      </c>
      <c r="S32" s="330">
        <v>0.6</v>
      </c>
      <c r="T32" s="330">
        <v>0.6</v>
      </c>
      <c r="U32" s="330">
        <v>0.6</v>
      </c>
      <c r="V32" s="330">
        <v>0.6</v>
      </c>
      <c r="W32" s="330">
        <v>0.6</v>
      </c>
    </row>
    <row r="33" spans="1:23">
      <c r="A33" s="122" t="s">
        <v>419</v>
      </c>
      <c r="B33" s="149" t="s">
        <v>420</v>
      </c>
      <c r="C33" s="121" t="s">
        <v>27</v>
      </c>
      <c r="D33" s="162" t="s">
        <v>283</v>
      </c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176"/>
    </row>
    <row r="34" spans="1:23">
      <c r="A34" s="122" t="s">
        <v>421</v>
      </c>
      <c r="B34" s="149" t="s">
        <v>422</v>
      </c>
      <c r="C34" s="121" t="s">
        <v>27</v>
      </c>
      <c r="D34" s="162" t="s">
        <v>284</v>
      </c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</row>
    <row r="35" spans="1:23">
      <c r="A35" s="122" t="s">
        <v>423</v>
      </c>
      <c r="B35" s="149" t="s">
        <v>424</v>
      </c>
      <c r="C35" s="121" t="s">
        <v>27</v>
      </c>
      <c r="D35" s="162" t="s">
        <v>285</v>
      </c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</row>
    <row r="36" spans="1:23">
      <c r="A36" s="122" t="s">
        <v>425</v>
      </c>
      <c r="B36" s="149" t="s">
        <v>426</v>
      </c>
      <c r="C36" s="121" t="s">
        <v>27</v>
      </c>
      <c r="D36" s="162" t="s">
        <v>286</v>
      </c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</row>
    <row r="37" spans="1:23">
      <c r="A37" s="122" t="s">
        <v>427</v>
      </c>
      <c r="B37" s="149" t="s">
        <v>428</v>
      </c>
      <c r="C37" s="121" t="s">
        <v>27</v>
      </c>
      <c r="D37" s="162" t="s">
        <v>287</v>
      </c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</row>
    <row r="38" spans="1:23">
      <c r="A38" s="173" t="s">
        <v>429</v>
      </c>
      <c r="B38" s="173" t="s">
        <v>430</v>
      </c>
      <c r="C38" s="121" t="s">
        <v>27</v>
      </c>
      <c r="D38" s="244" t="s">
        <v>431</v>
      </c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</row>
    <row r="39" spans="1:23">
      <c r="A39" s="122" t="s">
        <v>432</v>
      </c>
      <c r="B39" s="173" t="s">
        <v>433</v>
      </c>
      <c r="C39" s="121" t="s">
        <v>27</v>
      </c>
      <c r="D39" s="162" t="s">
        <v>288</v>
      </c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</row>
    <row r="40" spans="1:23">
      <c r="A40" s="328" t="s">
        <v>501</v>
      </c>
      <c r="B40" s="328" t="s">
        <v>502</v>
      </c>
      <c r="C40" s="328" t="s">
        <v>503</v>
      </c>
      <c r="D40" s="331" t="s">
        <v>504</v>
      </c>
      <c r="E40" s="331" t="s">
        <v>504</v>
      </c>
      <c r="F40" s="331" t="s">
        <v>505</v>
      </c>
      <c r="G40" s="331" t="s">
        <v>505</v>
      </c>
      <c r="H40" s="331" t="s">
        <v>505</v>
      </c>
      <c r="I40" s="331" t="s">
        <v>505</v>
      </c>
      <c r="J40" s="331" t="s">
        <v>505</v>
      </c>
      <c r="K40" s="331" t="s">
        <v>505</v>
      </c>
      <c r="L40" s="331" t="s">
        <v>506</v>
      </c>
      <c r="M40" s="331" t="s">
        <v>506</v>
      </c>
      <c r="N40" s="331" t="s">
        <v>505</v>
      </c>
      <c r="O40" s="331" t="s">
        <v>506</v>
      </c>
      <c r="P40" s="331" t="s">
        <v>506</v>
      </c>
      <c r="Q40" s="331" t="s">
        <v>506</v>
      </c>
      <c r="R40" s="331" t="s">
        <v>506</v>
      </c>
      <c r="S40" s="331" t="s">
        <v>506</v>
      </c>
      <c r="T40" s="331" t="s">
        <v>506</v>
      </c>
      <c r="U40" s="331" t="s">
        <v>506</v>
      </c>
      <c r="V40" s="331" t="s">
        <v>506</v>
      </c>
      <c r="W40" s="331" t="s">
        <v>506</v>
      </c>
    </row>
    <row r="41" spans="1:23">
      <c r="A41" s="122" t="s">
        <v>507</v>
      </c>
      <c r="B41" s="328" t="s">
        <v>508</v>
      </c>
      <c r="C41" s="328" t="s">
        <v>507</v>
      </c>
      <c r="D41" s="176">
        <v>500</v>
      </c>
      <c r="E41" s="176">
        <v>500</v>
      </c>
      <c r="F41" s="176">
        <v>750</v>
      </c>
      <c r="G41" s="176">
        <v>750</v>
      </c>
      <c r="H41" s="176">
        <v>750</v>
      </c>
      <c r="I41" s="176">
        <v>750</v>
      </c>
      <c r="J41" s="176">
        <v>750</v>
      </c>
      <c r="K41" s="176">
        <v>750</v>
      </c>
      <c r="L41" s="176">
        <v>1150</v>
      </c>
      <c r="M41" s="176">
        <v>1150</v>
      </c>
      <c r="N41" s="176">
        <v>1150</v>
      </c>
      <c r="O41" s="176">
        <v>1150</v>
      </c>
      <c r="P41" s="176">
        <v>1150</v>
      </c>
      <c r="Q41" s="176">
        <v>1150</v>
      </c>
      <c r="R41" s="176">
        <v>1150</v>
      </c>
      <c r="S41" s="176">
        <v>1150</v>
      </c>
      <c r="T41" s="176">
        <v>1150</v>
      </c>
      <c r="U41" s="176">
        <v>1150</v>
      </c>
      <c r="V41" s="176">
        <v>1150</v>
      </c>
      <c r="W41" s="176">
        <v>1150</v>
      </c>
    </row>
    <row r="42" spans="1:23">
      <c r="A42" s="122" t="s">
        <v>432</v>
      </c>
      <c r="B42" s="173" t="s">
        <v>433</v>
      </c>
      <c r="C42" s="121" t="s">
        <v>27</v>
      </c>
      <c r="D42" s="162" t="s">
        <v>288</v>
      </c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</row>
    <row r="51" spans="11:12">
      <c r="K51" s="91">
        <v>148</v>
      </c>
      <c r="L51" s="332" t="s">
        <v>442</v>
      </c>
    </row>
    <row r="52" spans="11:12">
      <c r="K52" s="91">
        <v>1430</v>
      </c>
      <c r="L52" s="332" t="s">
        <v>442</v>
      </c>
    </row>
    <row r="53" spans="11:12">
      <c r="K53" s="91">
        <f>K51/K52</f>
        <v>0.10349650349650349</v>
      </c>
    </row>
  </sheetData>
  <phoneticPr fontId="12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AB11"/>
  <sheetViews>
    <sheetView workbookViewId="0">
      <selection activeCell="H8" sqref="H8"/>
    </sheetView>
  </sheetViews>
  <sheetFormatPr baseColWidth="10" defaultColWidth="8.6640625" defaultRowHeight="17"/>
  <cols>
    <col min="1" max="1" width="5.1640625" style="261" customWidth="1"/>
    <col min="2" max="2" width="4.6640625" style="261" customWidth="1"/>
    <col min="3" max="3" width="5.5" style="261" customWidth="1"/>
    <col min="4" max="4" width="7.5" style="261" customWidth="1"/>
    <col min="5" max="5" width="3.5" style="284" customWidth="1"/>
    <col min="6" max="6" width="19" style="284" customWidth="1"/>
    <col min="7" max="7" width="12.5" style="284" customWidth="1"/>
    <col min="8" max="8" width="9.6640625" style="261" customWidth="1"/>
    <col min="9" max="9" width="8.6640625" style="285"/>
    <col min="10" max="10" width="10.1640625" style="285" customWidth="1"/>
    <col min="11" max="11" width="9.5" style="285" customWidth="1"/>
    <col min="12" max="12" width="10.1640625" style="286" customWidth="1"/>
    <col min="13" max="13" width="9.6640625" style="286" customWidth="1"/>
    <col min="14" max="14" width="9.6640625" style="285" customWidth="1"/>
    <col min="15" max="15" width="9.6640625" style="287" customWidth="1"/>
    <col min="16" max="17" width="9.6640625" style="286" customWidth="1"/>
    <col min="18" max="18" width="10.1640625" style="286" customWidth="1"/>
    <col min="19" max="20" width="9.6640625" style="286" customWidth="1"/>
    <col min="21" max="21" width="10.1640625" style="286" customWidth="1"/>
    <col min="22" max="22" width="11" style="286" customWidth="1"/>
    <col min="23" max="25" width="9.5" style="286" customWidth="1"/>
    <col min="26" max="26" width="9.6640625" style="286" customWidth="1"/>
    <col min="27" max="27" width="11" style="261" customWidth="1"/>
    <col min="28" max="28" width="16.6640625" style="261" customWidth="1"/>
    <col min="29" max="16384" width="8.6640625" style="261"/>
  </cols>
  <sheetData>
    <row r="1" spans="1:28" ht="37" thickBot="1">
      <c r="A1" s="256" t="s">
        <v>443</v>
      </c>
      <c r="B1" s="257" t="s">
        <v>444</v>
      </c>
      <c r="C1" s="603" t="s">
        <v>445</v>
      </c>
      <c r="D1" s="604"/>
      <c r="E1" s="605" t="s">
        <v>446</v>
      </c>
      <c r="F1" s="606"/>
      <c r="G1" s="257" t="s">
        <v>447</v>
      </c>
      <c r="H1" s="258" t="s">
        <v>447</v>
      </c>
      <c r="I1" s="258" t="s">
        <v>447</v>
      </c>
      <c r="J1" s="258" t="s">
        <v>447</v>
      </c>
      <c r="K1" s="258" t="s">
        <v>447</v>
      </c>
      <c r="L1" s="258" t="s">
        <v>447</v>
      </c>
      <c r="M1" s="259" t="s">
        <v>447</v>
      </c>
      <c r="N1" s="258" t="s">
        <v>447</v>
      </c>
      <c r="O1" s="258" t="s">
        <v>447</v>
      </c>
      <c r="P1" s="258" t="s">
        <v>447</v>
      </c>
      <c r="Q1" s="258" t="s">
        <v>447</v>
      </c>
      <c r="R1" s="258" t="s">
        <v>447</v>
      </c>
      <c r="S1" s="258" t="s">
        <v>447</v>
      </c>
      <c r="T1" s="258" t="s">
        <v>447</v>
      </c>
      <c r="U1" s="258" t="s">
        <v>447</v>
      </c>
      <c r="V1" s="258" t="s">
        <v>447</v>
      </c>
      <c r="W1" s="258" t="s">
        <v>447</v>
      </c>
      <c r="X1" s="258" t="s">
        <v>447</v>
      </c>
      <c r="Y1" s="258" t="s">
        <v>447</v>
      </c>
      <c r="Z1" s="258" t="s">
        <v>447</v>
      </c>
      <c r="AA1" s="260" t="s">
        <v>448</v>
      </c>
    </row>
    <row r="2" spans="1:28" ht="18">
      <c r="A2" s="607"/>
      <c r="B2" s="607"/>
      <c r="C2" s="607"/>
      <c r="D2" s="607" t="s">
        <v>449</v>
      </c>
      <c r="E2" s="608" t="s">
        <v>450</v>
      </c>
      <c r="F2" s="608"/>
      <c r="G2" s="262">
        <v>1</v>
      </c>
      <c r="H2" s="262">
        <v>2</v>
      </c>
      <c r="I2" s="262">
        <v>3</v>
      </c>
      <c r="J2" s="262">
        <v>4</v>
      </c>
      <c r="K2" s="262">
        <v>5</v>
      </c>
      <c r="L2" s="262">
        <v>6</v>
      </c>
      <c r="M2" s="262">
        <v>7</v>
      </c>
      <c r="N2" s="262">
        <v>8</v>
      </c>
      <c r="O2" s="262">
        <v>9</v>
      </c>
      <c r="P2" s="262">
        <v>10</v>
      </c>
      <c r="Q2" s="262">
        <v>11</v>
      </c>
      <c r="R2" s="262">
        <v>12</v>
      </c>
      <c r="S2" s="262">
        <v>13</v>
      </c>
      <c r="T2" s="262">
        <v>14</v>
      </c>
      <c r="U2" s="262">
        <v>15</v>
      </c>
      <c r="V2" s="263">
        <v>16</v>
      </c>
      <c r="W2" s="263">
        <v>17</v>
      </c>
      <c r="X2" s="263">
        <v>18</v>
      </c>
      <c r="Y2" s="263">
        <v>19</v>
      </c>
      <c r="Z2" s="262">
        <v>20</v>
      </c>
      <c r="AA2" s="264" t="s">
        <v>451</v>
      </c>
    </row>
    <row r="3" spans="1:28">
      <c r="A3" s="607"/>
      <c r="B3" s="607"/>
      <c r="C3" s="607"/>
      <c r="D3" s="607"/>
      <c r="E3" s="608" t="s">
        <v>452</v>
      </c>
      <c r="F3" s="608"/>
      <c r="G3" s="265">
        <v>1.8839999999999999</v>
      </c>
      <c r="H3" s="265">
        <v>1.7789999999999999</v>
      </c>
      <c r="I3" s="265">
        <v>1.702</v>
      </c>
      <c r="J3" s="265">
        <v>1.625</v>
      </c>
      <c r="K3" s="265">
        <v>1.5840000000000001</v>
      </c>
      <c r="L3" s="265">
        <v>1.5609999999999999</v>
      </c>
      <c r="M3" s="265">
        <v>1.538</v>
      </c>
      <c r="N3" s="265">
        <v>1.5149999999999999</v>
      </c>
      <c r="O3" s="265">
        <v>1.5</v>
      </c>
      <c r="P3" s="265">
        <v>1.5</v>
      </c>
      <c r="Q3" s="265">
        <v>1.5</v>
      </c>
      <c r="R3" s="265">
        <v>1.5</v>
      </c>
      <c r="S3" s="265">
        <v>1.5</v>
      </c>
      <c r="T3" s="265">
        <v>1.5</v>
      </c>
      <c r="U3" s="265">
        <v>1.5</v>
      </c>
      <c r="V3" s="265">
        <v>1.5</v>
      </c>
      <c r="W3" s="265">
        <v>1.5</v>
      </c>
      <c r="X3" s="265">
        <v>1.5</v>
      </c>
      <c r="Y3" s="265">
        <v>1.5</v>
      </c>
      <c r="Z3" s="266">
        <v>1.5</v>
      </c>
      <c r="AA3" s="267"/>
    </row>
    <row r="4" spans="1:28" s="272" customFormat="1" ht="36">
      <c r="A4" s="607"/>
      <c r="B4" s="607"/>
      <c r="C4" s="607"/>
      <c r="D4" s="607"/>
      <c r="E4" s="268"/>
      <c r="F4" s="269" t="s">
        <v>453</v>
      </c>
      <c r="G4" s="270">
        <f>G2*10000/G6/86400*4/3.14/G7/G7</f>
        <v>0.58976173625855155</v>
      </c>
      <c r="H4" s="270">
        <f t="shared" ref="H4:Z4" si="0">H2*10000/H6/86400*4/3.14/H7/H7</f>
        <v>0.60179769005974659</v>
      </c>
      <c r="I4" s="270">
        <f t="shared" si="0"/>
        <v>0.69112703467798997</v>
      </c>
      <c r="J4" s="270">
        <f t="shared" si="0"/>
        <v>0.72810090896117474</v>
      </c>
      <c r="K4" s="270">
        <f t="shared" si="0"/>
        <v>0.73720217032318947</v>
      </c>
      <c r="L4" s="270">
        <f t="shared" si="0"/>
        <v>0.61433514193599126</v>
      </c>
      <c r="M4" s="270">
        <f t="shared" si="0"/>
        <v>0.7167243322586565</v>
      </c>
      <c r="N4" s="270">
        <f t="shared" si="0"/>
        <v>0.72810090896117474</v>
      </c>
      <c r="O4" s="270">
        <f t="shared" si="0"/>
        <v>0.66348195329087056</v>
      </c>
      <c r="P4" s="270">
        <f t="shared" si="0"/>
        <v>0.73720217032318947</v>
      </c>
      <c r="Q4" s="270">
        <f t="shared" si="0"/>
        <v>0.81092238735550837</v>
      </c>
      <c r="R4" s="270">
        <f t="shared" si="0"/>
        <v>0.61433514193599126</v>
      </c>
      <c r="S4" s="270">
        <f t="shared" si="0"/>
        <v>0.66552973709732377</v>
      </c>
      <c r="T4" s="270">
        <f t="shared" si="0"/>
        <v>0.7167243322586565</v>
      </c>
      <c r="U4" s="270">
        <f t="shared" si="0"/>
        <v>0.76791892741998902</v>
      </c>
      <c r="V4" s="270">
        <f t="shared" si="0"/>
        <v>0.81911352258132164</v>
      </c>
      <c r="W4" s="270">
        <f t="shared" si="0"/>
        <v>0.6394100456884807</v>
      </c>
      <c r="X4" s="270">
        <f t="shared" si="0"/>
        <v>0.67702240131721492</v>
      </c>
      <c r="Y4" s="270">
        <f t="shared" si="0"/>
        <v>0.7146347569459488</v>
      </c>
      <c r="Z4" s="270">
        <f t="shared" si="0"/>
        <v>0.75224711257468324</v>
      </c>
      <c r="AA4" s="271"/>
    </row>
    <row r="5" spans="1:28" s="272" customFormat="1" ht="18">
      <c r="A5" s="607"/>
      <c r="B5" s="607"/>
      <c r="C5" s="607"/>
      <c r="D5" s="607"/>
      <c r="E5" s="268"/>
      <c r="F5" s="269" t="s">
        <v>454</v>
      </c>
      <c r="G5" s="270">
        <f t="shared" ref="G5:Z5" si="1">G2*G3*10000/G6/86400*4/3.14/G7/G7</f>
        <v>1.1111111111111112</v>
      </c>
      <c r="H5" s="270">
        <f t="shared" si="1"/>
        <v>1.0705980906162889</v>
      </c>
      <c r="I5" s="270">
        <f t="shared" si="1"/>
        <v>1.176298213021939</v>
      </c>
      <c r="J5" s="270">
        <f t="shared" si="1"/>
        <v>1.1831639770619089</v>
      </c>
      <c r="K5" s="270">
        <f t="shared" si="1"/>
        <v>1.167728237791932</v>
      </c>
      <c r="L5" s="270">
        <f t="shared" si="1"/>
        <v>0.95897715656208238</v>
      </c>
      <c r="M5" s="270">
        <f t="shared" si="1"/>
        <v>1.1023220230138135</v>
      </c>
      <c r="N5" s="270">
        <f t="shared" si="1"/>
        <v>1.1030728770761795</v>
      </c>
      <c r="O5" s="270">
        <f t="shared" si="1"/>
        <v>0.99522292993630568</v>
      </c>
      <c r="P5" s="270">
        <f t="shared" si="1"/>
        <v>1.1058032554847841</v>
      </c>
      <c r="Q5" s="270">
        <f t="shared" si="1"/>
        <v>1.2163835810332626</v>
      </c>
      <c r="R5" s="270">
        <f t="shared" si="1"/>
        <v>0.921502712903987</v>
      </c>
      <c r="S5" s="270">
        <f t="shared" si="1"/>
        <v>0.99829460564598571</v>
      </c>
      <c r="T5" s="270">
        <f t="shared" si="1"/>
        <v>1.0750864983879846</v>
      </c>
      <c r="U5" s="270">
        <f t="shared" si="1"/>
        <v>1.1518783911299835</v>
      </c>
      <c r="V5" s="270">
        <f t="shared" si="1"/>
        <v>1.2286702838719825</v>
      </c>
      <c r="W5" s="270">
        <f t="shared" si="1"/>
        <v>0.95911506853272088</v>
      </c>
      <c r="X5" s="270">
        <f t="shared" si="1"/>
        <v>1.0155336019758223</v>
      </c>
      <c r="Y5" s="270">
        <f t="shared" si="1"/>
        <v>1.0719521354189234</v>
      </c>
      <c r="Z5" s="270">
        <f t="shared" si="1"/>
        <v>1.1283706688620248</v>
      </c>
      <c r="AA5" s="271"/>
    </row>
    <row r="6" spans="1:28" ht="18">
      <c r="A6" s="607"/>
      <c r="B6" s="607"/>
      <c r="C6" s="607"/>
      <c r="D6" s="609"/>
      <c r="E6" s="273"/>
      <c r="F6" s="274" t="s">
        <v>455</v>
      </c>
      <c r="G6" s="275">
        <v>1</v>
      </c>
      <c r="H6" s="275">
        <v>1</v>
      </c>
      <c r="I6" s="275">
        <v>1</v>
      </c>
      <c r="J6" s="275">
        <v>1</v>
      </c>
      <c r="K6" s="275">
        <v>1</v>
      </c>
      <c r="L6" s="275">
        <v>1</v>
      </c>
      <c r="M6" s="275">
        <v>1</v>
      </c>
      <c r="N6" s="275">
        <v>2</v>
      </c>
      <c r="O6" s="275">
        <v>2</v>
      </c>
      <c r="P6" s="275">
        <v>2</v>
      </c>
      <c r="Q6" s="275">
        <v>2</v>
      </c>
      <c r="R6" s="275">
        <v>2</v>
      </c>
      <c r="S6" s="275">
        <v>2</v>
      </c>
      <c r="T6" s="275">
        <v>2</v>
      </c>
      <c r="U6" s="275">
        <v>2</v>
      </c>
      <c r="V6" s="275">
        <v>2</v>
      </c>
      <c r="W6" s="275">
        <v>2</v>
      </c>
      <c r="X6" s="275">
        <v>2</v>
      </c>
      <c r="Y6" s="275">
        <v>2</v>
      </c>
      <c r="Z6" s="275">
        <v>2</v>
      </c>
      <c r="AA6" s="267"/>
      <c r="AB6" s="276"/>
    </row>
    <row r="7" spans="1:28" ht="18">
      <c r="A7" s="607"/>
      <c r="B7" s="607"/>
      <c r="C7" s="607"/>
      <c r="D7" s="609"/>
      <c r="E7" s="268"/>
      <c r="F7" s="277" t="s">
        <v>456</v>
      </c>
      <c r="G7" s="278">
        <v>0.5</v>
      </c>
      <c r="H7" s="278">
        <v>0.7</v>
      </c>
      <c r="I7" s="278">
        <v>0.8</v>
      </c>
      <c r="J7" s="278">
        <v>0.9</v>
      </c>
      <c r="K7" s="278">
        <v>1</v>
      </c>
      <c r="L7" s="278">
        <v>1.2</v>
      </c>
      <c r="M7" s="278">
        <v>1.2</v>
      </c>
      <c r="N7" s="278">
        <v>0.9</v>
      </c>
      <c r="O7" s="278">
        <v>1</v>
      </c>
      <c r="P7" s="278">
        <v>1</v>
      </c>
      <c r="Q7" s="278">
        <v>1</v>
      </c>
      <c r="R7" s="278">
        <v>1.2</v>
      </c>
      <c r="S7" s="278">
        <v>1.2</v>
      </c>
      <c r="T7" s="278">
        <v>1.2</v>
      </c>
      <c r="U7" s="278">
        <v>1.2</v>
      </c>
      <c r="V7" s="278">
        <v>1.2</v>
      </c>
      <c r="W7" s="278">
        <v>1.4</v>
      </c>
      <c r="X7" s="278">
        <v>1.4</v>
      </c>
      <c r="Y7" s="278">
        <v>1.4</v>
      </c>
      <c r="Z7" s="278">
        <v>1.4</v>
      </c>
      <c r="AA7" s="279" t="s">
        <v>457</v>
      </c>
    </row>
    <row r="8" spans="1:28" s="272" customFormat="1" ht="36">
      <c r="A8" s="607"/>
      <c r="B8" s="607"/>
      <c r="C8" s="607"/>
      <c r="D8" s="609"/>
      <c r="E8" s="268"/>
      <c r="F8" s="269" t="s">
        <v>453</v>
      </c>
      <c r="G8" s="280">
        <f>G2*10000/G10/86400*4/3.14/G11/G11</f>
        <v>0.58976173625855155</v>
      </c>
      <c r="H8" s="280">
        <f>H2*10000/H10/86400*4/3.14/H11/H11</f>
        <v>0.60179769005974659</v>
      </c>
      <c r="I8" s="280">
        <f t="shared" ref="I8:Z8" si="2">I2*10000/I10/86400*4/3.14/I11/I11</f>
        <v>0.69112703467798997</v>
      </c>
      <c r="J8" s="280">
        <f t="shared" si="2"/>
        <v>0.72810090896117474</v>
      </c>
      <c r="K8" s="280">
        <f t="shared" si="2"/>
        <v>0.73720217032318947</v>
      </c>
      <c r="L8" s="280">
        <f t="shared" si="2"/>
        <v>0.61433514193599126</v>
      </c>
      <c r="M8" s="280">
        <f t="shared" si="2"/>
        <v>0.7167243322586565</v>
      </c>
      <c r="N8" s="280">
        <f t="shared" si="2"/>
        <v>0.81911352258132164</v>
      </c>
      <c r="O8" s="280">
        <f t="shared" si="2"/>
        <v>0.67702240131721492</v>
      </c>
      <c r="P8" s="280">
        <f t="shared" si="2"/>
        <v>0.75224711257468324</v>
      </c>
      <c r="Q8" s="280">
        <f t="shared" si="2"/>
        <v>0.82747182383215157</v>
      </c>
      <c r="R8" s="280">
        <f t="shared" si="2"/>
        <v>0.69112703467798997</v>
      </c>
      <c r="S8" s="280">
        <f t="shared" si="2"/>
        <v>0.74872095423448914</v>
      </c>
      <c r="T8" s="280">
        <f t="shared" si="2"/>
        <v>0.80631487379098843</v>
      </c>
      <c r="U8" s="280">
        <f t="shared" si="2"/>
        <v>0.68259460215110124</v>
      </c>
      <c r="V8" s="280">
        <f t="shared" si="2"/>
        <v>0.72810090896117474</v>
      </c>
      <c r="W8" s="280">
        <f t="shared" si="2"/>
        <v>0.77360721577124802</v>
      </c>
      <c r="X8" s="280">
        <f t="shared" si="2"/>
        <v>0.81911352258132164</v>
      </c>
      <c r="Y8" s="280">
        <f t="shared" si="2"/>
        <v>0.70034206180702985</v>
      </c>
      <c r="Z8" s="280">
        <f t="shared" si="2"/>
        <v>0.73720217032318947</v>
      </c>
      <c r="AA8" s="271"/>
    </row>
    <row r="9" spans="1:28" s="272" customFormat="1" ht="18">
      <c r="A9" s="607"/>
      <c r="B9" s="607"/>
      <c r="C9" s="607"/>
      <c r="D9" s="609"/>
      <c r="E9" s="268"/>
      <c r="F9" s="269" t="s">
        <v>454</v>
      </c>
      <c r="G9" s="280">
        <f>G2*G3*10000/G10/86400*4/3.14/G11/G11</f>
        <v>1.1111111111111112</v>
      </c>
      <c r="H9" s="280">
        <f>H2*H3*10000/H10/86400*4/3.14/H11/H11</f>
        <v>1.0705980906162889</v>
      </c>
      <c r="I9" s="280">
        <f t="shared" ref="I9:Z9" si="3">I2*I3*10000/I10/86400*4/3.14/I11/I11</f>
        <v>1.176298213021939</v>
      </c>
      <c r="J9" s="280">
        <f t="shared" si="3"/>
        <v>1.1831639770619089</v>
      </c>
      <c r="K9" s="280">
        <f t="shared" si="3"/>
        <v>1.167728237791932</v>
      </c>
      <c r="L9" s="280">
        <f t="shared" si="3"/>
        <v>0.95897715656208238</v>
      </c>
      <c r="M9" s="280">
        <f t="shared" si="3"/>
        <v>1.1023220230138135</v>
      </c>
      <c r="N9" s="280">
        <f t="shared" si="3"/>
        <v>1.2409569867107022</v>
      </c>
      <c r="O9" s="280">
        <f t="shared" si="3"/>
        <v>1.0155336019758223</v>
      </c>
      <c r="P9" s="280">
        <f t="shared" si="3"/>
        <v>1.1283706688620248</v>
      </c>
      <c r="Q9" s="280">
        <f t="shared" si="3"/>
        <v>1.2412077357482272</v>
      </c>
      <c r="R9" s="280">
        <f t="shared" si="3"/>
        <v>1.0366905520169851</v>
      </c>
      <c r="S9" s="280">
        <f t="shared" si="3"/>
        <v>1.1230814313517339</v>
      </c>
      <c r="T9" s="280">
        <f t="shared" si="3"/>
        <v>1.2094723106864824</v>
      </c>
      <c r="U9" s="280">
        <f t="shared" si="3"/>
        <v>1.0238919032266518</v>
      </c>
      <c r="V9" s="280">
        <f t="shared" si="3"/>
        <v>1.0921513634417621</v>
      </c>
      <c r="W9" s="280">
        <f t="shared" si="3"/>
        <v>1.1604108236568722</v>
      </c>
      <c r="X9" s="280">
        <f t="shared" si="3"/>
        <v>1.2286702838719823</v>
      </c>
      <c r="Y9" s="280">
        <f t="shared" si="3"/>
        <v>1.0505130927105448</v>
      </c>
      <c r="Z9" s="280">
        <f t="shared" si="3"/>
        <v>1.1058032554847841</v>
      </c>
      <c r="AA9" s="271"/>
    </row>
    <row r="10" spans="1:28" ht="18">
      <c r="A10" s="273"/>
      <c r="B10" s="273"/>
      <c r="C10" s="273"/>
      <c r="D10" s="273"/>
      <c r="E10" s="281"/>
      <c r="F10" s="274" t="s">
        <v>455</v>
      </c>
      <c r="G10" s="282">
        <v>1</v>
      </c>
      <c r="H10" s="282">
        <v>1</v>
      </c>
      <c r="I10" s="282">
        <v>1</v>
      </c>
      <c r="J10" s="282">
        <v>1</v>
      </c>
      <c r="K10" s="282">
        <v>1</v>
      </c>
      <c r="L10" s="282">
        <v>1</v>
      </c>
      <c r="M10" s="282">
        <v>1</v>
      </c>
      <c r="N10" s="282">
        <v>1</v>
      </c>
      <c r="O10" s="282">
        <v>1</v>
      </c>
      <c r="P10" s="282">
        <v>1</v>
      </c>
      <c r="Q10" s="282">
        <v>1</v>
      </c>
      <c r="R10" s="282">
        <v>1</v>
      </c>
      <c r="S10" s="282">
        <v>1</v>
      </c>
      <c r="T10" s="282">
        <v>1</v>
      </c>
      <c r="U10" s="282">
        <v>1</v>
      </c>
      <c r="V10" s="282">
        <v>1</v>
      </c>
      <c r="W10" s="282">
        <v>1</v>
      </c>
      <c r="X10" s="282">
        <v>1</v>
      </c>
      <c r="Y10" s="282">
        <v>1</v>
      </c>
      <c r="Z10" s="282">
        <v>1</v>
      </c>
    </row>
    <row r="11" spans="1:28" ht="18">
      <c r="A11" s="273"/>
      <c r="B11" s="273"/>
      <c r="C11" s="273"/>
      <c r="D11" s="273"/>
      <c r="E11" s="281"/>
      <c r="F11" s="277" t="s">
        <v>456</v>
      </c>
      <c r="G11" s="283">
        <v>0.5</v>
      </c>
      <c r="H11" s="283">
        <v>0.7</v>
      </c>
      <c r="I11" s="283">
        <v>0.8</v>
      </c>
      <c r="J11" s="283">
        <v>0.9</v>
      </c>
      <c r="K11" s="283">
        <v>1</v>
      </c>
      <c r="L11" s="283">
        <v>1.2</v>
      </c>
      <c r="M11" s="283">
        <v>1.2</v>
      </c>
      <c r="N11" s="283">
        <v>1.2</v>
      </c>
      <c r="O11" s="283">
        <v>1.4</v>
      </c>
      <c r="P11" s="283">
        <v>1.4</v>
      </c>
      <c r="Q11" s="283">
        <v>1.4</v>
      </c>
      <c r="R11" s="283">
        <v>1.6</v>
      </c>
      <c r="S11" s="283">
        <v>1.6</v>
      </c>
      <c r="T11" s="283">
        <v>1.6</v>
      </c>
      <c r="U11" s="283">
        <v>1.8</v>
      </c>
      <c r="V11" s="283">
        <v>1.8</v>
      </c>
      <c r="W11" s="283">
        <v>1.8</v>
      </c>
      <c r="X11" s="283">
        <v>1.8</v>
      </c>
      <c r="Y11" s="283">
        <v>2</v>
      </c>
      <c r="Z11" s="283">
        <v>2</v>
      </c>
    </row>
  </sheetData>
  <mergeCells count="10">
    <mergeCell ref="C1:D1"/>
    <mergeCell ref="E1:F1"/>
    <mergeCell ref="A2:A9"/>
    <mergeCell ref="B2:B9"/>
    <mergeCell ref="C2:C9"/>
    <mergeCell ref="D2:D3"/>
    <mergeCell ref="E2:F2"/>
    <mergeCell ref="E3:F3"/>
    <mergeCell ref="D4:D5"/>
    <mergeCell ref="D6:D9"/>
  </mergeCells>
  <phoneticPr fontId="3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W37"/>
  <sheetViews>
    <sheetView zoomScale="40" zoomScaleNormal="40" workbookViewId="0">
      <selection activeCell="N32" sqref="N32"/>
    </sheetView>
  </sheetViews>
  <sheetFormatPr baseColWidth="10" defaultColWidth="8.83203125" defaultRowHeight="15"/>
  <cols>
    <col min="1" max="1" width="11.1640625" style="1" customWidth="1"/>
    <col min="2" max="2" width="17" style="1" customWidth="1"/>
    <col min="3" max="3" width="8.6640625" style="1" customWidth="1"/>
    <col min="4" max="23" width="8.6640625" style="91" customWidth="1"/>
  </cols>
  <sheetData>
    <row r="1" spans="1:23">
      <c r="A1" s="180" t="s">
        <v>235</v>
      </c>
      <c r="B1" s="181" t="s">
        <v>11</v>
      </c>
      <c r="C1" s="170" t="s">
        <v>12</v>
      </c>
      <c r="D1" s="169">
        <v>10000</v>
      </c>
      <c r="E1" s="169">
        <v>20000</v>
      </c>
      <c r="F1" s="169">
        <v>30000</v>
      </c>
      <c r="G1" s="169">
        <v>40000</v>
      </c>
      <c r="H1" s="169">
        <v>50000</v>
      </c>
      <c r="I1" s="169">
        <v>60000</v>
      </c>
      <c r="J1" s="169">
        <v>70000</v>
      </c>
      <c r="K1" s="169">
        <v>80000</v>
      </c>
      <c r="L1" s="169">
        <v>90000</v>
      </c>
      <c r="M1" s="169">
        <v>100000</v>
      </c>
      <c r="N1" s="169">
        <v>110000</v>
      </c>
      <c r="O1" s="169">
        <v>120000</v>
      </c>
      <c r="P1" s="169">
        <v>130000</v>
      </c>
      <c r="Q1" s="169">
        <v>140000</v>
      </c>
      <c r="R1" s="169">
        <v>150000</v>
      </c>
      <c r="S1" s="169">
        <v>160000</v>
      </c>
      <c r="T1" s="169">
        <v>170000</v>
      </c>
      <c r="U1" s="169">
        <v>180000</v>
      </c>
      <c r="V1" s="169">
        <v>190000</v>
      </c>
      <c r="W1" s="169">
        <v>200000</v>
      </c>
    </row>
    <row r="2" spans="1:23">
      <c r="A2" s="182" t="s">
        <v>253</v>
      </c>
      <c r="B2" s="181" t="s">
        <v>15</v>
      </c>
      <c r="C2" s="170" t="s">
        <v>16</v>
      </c>
      <c r="D2" s="170">
        <v>416.66666666666669</v>
      </c>
      <c r="E2" s="170">
        <v>833.33333333333337</v>
      </c>
      <c r="F2" s="170">
        <v>1250</v>
      </c>
      <c r="G2" s="170">
        <v>1666.6666666666667</v>
      </c>
      <c r="H2" s="170">
        <v>2083.3333333333335</v>
      </c>
      <c r="I2" s="170">
        <v>2500</v>
      </c>
      <c r="J2" s="170">
        <v>2916.6666666666665</v>
      </c>
      <c r="K2" s="170">
        <v>3333.3333333333335</v>
      </c>
      <c r="L2" s="170">
        <v>3750</v>
      </c>
      <c r="M2" s="170">
        <v>4166.666666666667</v>
      </c>
      <c r="N2" s="170">
        <v>4583.333333333333</v>
      </c>
      <c r="O2" s="170">
        <v>5000</v>
      </c>
      <c r="P2" s="170">
        <v>5416.666666666667</v>
      </c>
      <c r="Q2" s="170">
        <v>5833.333333333333</v>
      </c>
      <c r="R2" s="170">
        <v>6250</v>
      </c>
      <c r="S2" s="170">
        <v>6666.666666666667</v>
      </c>
      <c r="T2" s="170">
        <v>7083.333333333333</v>
      </c>
      <c r="U2" s="170">
        <v>7500</v>
      </c>
      <c r="V2" s="170">
        <v>7916.666666666667</v>
      </c>
      <c r="W2" s="170">
        <v>8333.3333333333339</v>
      </c>
    </row>
    <row r="3" spans="1:23">
      <c r="A3" s="183" t="s">
        <v>260</v>
      </c>
      <c r="B3" s="181" t="s">
        <v>19</v>
      </c>
      <c r="C3" s="170" t="s">
        <v>16</v>
      </c>
      <c r="D3" s="170">
        <v>673.43550037874252</v>
      </c>
      <c r="E3" s="170">
        <v>1249.7258778312034</v>
      </c>
      <c r="F3" s="170">
        <v>1794.2715286788332</v>
      </c>
      <c r="G3" s="170">
        <v>2319.1749897987283</v>
      </c>
      <c r="H3" s="170">
        <v>2829.9401481323334</v>
      </c>
      <c r="I3" s="170">
        <v>3329.7139220973436</v>
      </c>
      <c r="J3" s="170">
        <v>3820.5286283450769</v>
      </c>
      <c r="K3" s="170">
        <v>4333.3333333333339</v>
      </c>
      <c r="L3" s="170">
        <v>4875</v>
      </c>
      <c r="M3" s="170">
        <v>5416.666666666667</v>
      </c>
      <c r="N3" s="170">
        <v>5958.333333333333</v>
      </c>
      <c r="O3" s="170">
        <v>6500</v>
      </c>
      <c r="P3" s="170">
        <v>7041.666666666667</v>
      </c>
      <c r="Q3" s="170">
        <v>7583.333333333333</v>
      </c>
      <c r="R3" s="170">
        <v>8125</v>
      </c>
      <c r="S3" s="170">
        <v>8666.6666666666679</v>
      </c>
      <c r="T3" s="170">
        <v>9208.3333333333339</v>
      </c>
      <c r="U3" s="170">
        <v>9750</v>
      </c>
      <c r="V3" s="170">
        <v>10291.666666666668</v>
      </c>
      <c r="W3" s="170">
        <v>10833.333333333334</v>
      </c>
    </row>
    <row r="4" spans="1:23">
      <c r="A4" s="170" t="s">
        <v>250</v>
      </c>
      <c r="B4" s="181" t="s">
        <v>20</v>
      </c>
      <c r="C4" s="170" t="s">
        <v>250</v>
      </c>
      <c r="D4" s="49">
        <v>2</v>
      </c>
      <c r="E4" s="49">
        <v>2</v>
      </c>
      <c r="F4" s="49">
        <v>3</v>
      </c>
      <c r="G4" s="49">
        <v>3</v>
      </c>
      <c r="H4" s="49">
        <v>3</v>
      </c>
      <c r="I4" s="49">
        <v>4</v>
      </c>
      <c r="J4" s="49">
        <v>4</v>
      </c>
      <c r="K4" s="49">
        <v>4</v>
      </c>
      <c r="L4" s="49">
        <v>4</v>
      </c>
      <c r="M4" s="49">
        <v>4</v>
      </c>
      <c r="N4" s="49">
        <v>5</v>
      </c>
      <c r="O4" s="49">
        <v>5</v>
      </c>
      <c r="P4" s="49">
        <v>5</v>
      </c>
      <c r="Q4" s="49">
        <v>5</v>
      </c>
      <c r="R4" s="49">
        <v>5</v>
      </c>
      <c r="S4" s="49">
        <v>5</v>
      </c>
      <c r="T4" s="49">
        <v>5</v>
      </c>
      <c r="U4" s="49">
        <v>5</v>
      </c>
      <c r="V4" s="49">
        <v>5</v>
      </c>
      <c r="W4" s="49">
        <v>5</v>
      </c>
    </row>
    <row r="5" spans="1:23">
      <c r="A5" s="170" t="s">
        <v>251</v>
      </c>
      <c r="B5" s="181" t="s">
        <v>22</v>
      </c>
      <c r="C5" s="170" t="s">
        <v>251</v>
      </c>
      <c r="D5" s="49">
        <v>1</v>
      </c>
      <c r="E5" s="49">
        <v>1</v>
      </c>
      <c r="F5" s="49">
        <v>1</v>
      </c>
      <c r="G5" s="49">
        <v>1</v>
      </c>
      <c r="H5" s="49">
        <v>1</v>
      </c>
      <c r="I5" s="49">
        <v>1</v>
      </c>
      <c r="J5" s="49">
        <v>1</v>
      </c>
      <c r="K5" s="49">
        <v>1</v>
      </c>
      <c r="L5" s="49">
        <v>1</v>
      </c>
      <c r="M5" s="49">
        <v>1</v>
      </c>
      <c r="N5" s="49">
        <v>2</v>
      </c>
      <c r="O5" s="49">
        <v>2</v>
      </c>
      <c r="P5" s="49">
        <v>2</v>
      </c>
      <c r="Q5" s="49">
        <v>2</v>
      </c>
      <c r="R5" s="49">
        <v>2</v>
      </c>
      <c r="S5" s="49">
        <v>2</v>
      </c>
      <c r="T5" s="49">
        <v>2</v>
      </c>
      <c r="U5" s="49">
        <v>2</v>
      </c>
      <c r="V5" s="49">
        <v>2</v>
      </c>
      <c r="W5" s="49">
        <v>2</v>
      </c>
    </row>
    <row r="6" spans="1:23">
      <c r="A6" s="170" t="s">
        <v>249</v>
      </c>
      <c r="B6" s="181" t="s">
        <v>153</v>
      </c>
      <c r="C6" s="170" t="s">
        <v>249</v>
      </c>
      <c r="D6" s="49">
        <v>3</v>
      </c>
      <c r="E6" s="49">
        <v>3</v>
      </c>
      <c r="F6" s="49">
        <v>4</v>
      </c>
      <c r="G6" s="49">
        <v>4</v>
      </c>
      <c r="H6" s="49">
        <v>4</v>
      </c>
      <c r="I6" s="49">
        <v>5</v>
      </c>
      <c r="J6" s="49">
        <v>5</v>
      </c>
      <c r="K6" s="49">
        <v>5</v>
      </c>
      <c r="L6" s="49">
        <v>5</v>
      </c>
      <c r="M6" s="49">
        <v>5</v>
      </c>
      <c r="N6" s="49">
        <v>7</v>
      </c>
      <c r="O6" s="49">
        <v>7</v>
      </c>
      <c r="P6" s="49">
        <v>7</v>
      </c>
      <c r="Q6" s="49">
        <v>7</v>
      </c>
      <c r="R6" s="49">
        <v>7</v>
      </c>
      <c r="S6" s="49">
        <v>7</v>
      </c>
      <c r="T6" s="49">
        <v>7</v>
      </c>
      <c r="U6" s="49">
        <v>7</v>
      </c>
      <c r="V6" s="49">
        <v>7</v>
      </c>
      <c r="W6" s="49">
        <v>7</v>
      </c>
    </row>
    <row r="7" spans="1:23">
      <c r="A7" s="170" t="s">
        <v>252</v>
      </c>
      <c r="B7" s="181" t="s">
        <v>23</v>
      </c>
      <c r="C7" s="170" t="s">
        <v>16</v>
      </c>
      <c r="D7" s="49">
        <v>336.71775018937126</v>
      </c>
      <c r="E7" s="49">
        <v>624.86293891560172</v>
      </c>
      <c r="F7" s="49">
        <v>598.09050955961106</v>
      </c>
      <c r="G7" s="49">
        <v>773.05832993290949</v>
      </c>
      <c r="H7" s="49">
        <v>943.31338271077777</v>
      </c>
      <c r="I7" s="49">
        <v>832.4284805243359</v>
      </c>
      <c r="J7" s="49">
        <v>955.13215708626922</v>
      </c>
      <c r="K7" s="49">
        <v>1083.3333333333335</v>
      </c>
      <c r="L7" s="49">
        <v>1218.75</v>
      </c>
      <c r="M7" s="49">
        <v>1354.1666666666667</v>
      </c>
      <c r="N7" s="49">
        <v>1191.6666666666665</v>
      </c>
      <c r="O7" s="49">
        <v>1300</v>
      </c>
      <c r="P7" s="49">
        <v>1408.3333333333335</v>
      </c>
      <c r="Q7" s="49">
        <v>1516.6666666666665</v>
      </c>
      <c r="R7" s="49">
        <v>1625</v>
      </c>
      <c r="S7" s="49">
        <v>1733.3333333333335</v>
      </c>
      <c r="T7" s="49">
        <v>1841.6666666666667</v>
      </c>
      <c r="U7" s="49">
        <v>1950</v>
      </c>
      <c r="V7" s="49">
        <v>2058.3333333333335</v>
      </c>
      <c r="W7" s="49">
        <v>2166.666666666667</v>
      </c>
    </row>
    <row r="8" spans="1:23">
      <c r="A8" s="170" t="s">
        <v>261</v>
      </c>
      <c r="B8" s="184" t="s">
        <v>262</v>
      </c>
      <c r="C8" s="169" t="s">
        <v>8</v>
      </c>
      <c r="D8" s="169">
        <v>5</v>
      </c>
      <c r="E8" s="169">
        <v>5</v>
      </c>
      <c r="F8" s="169">
        <v>5</v>
      </c>
      <c r="G8" s="169">
        <v>5</v>
      </c>
      <c r="H8" s="169">
        <v>5</v>
      </c>
      <c r="I8" s="169">
        <v>5</v>
      </c>
      <c r="J8" s="169">
        <v>5</v>
      </c>
      <c r="K8" s="169">
        <v>5</v>
      </c>
      <c r="L8" s="169">
        <v>5</v>
      </c>
      <c r="M8" s="169">
        <v>5</v>
      </c>
      <c r="N8" s="169">
        <v>5</v>
      </c>
      <c r="O8" s="169">
        <v>5</v>
      </c>
      <c r="P8" s="169">
        <v>5</v>
      </c>
      <c r="Q8" s="169">
        <v>5</v>
      </c>
      <c r="R8" s="169">
        <v>5</v>
      </c>
      <c r="S8" s="169">
        <v>5</v>
      </c>
      <c r="T8" s="169">
        <v>5</v>
      </c>
      <c r="U8" s="169">
        <v>5</v>
      </c>
      <c r="V8" s="169">
        <v>5</v>
      </c>
      <c r="W8" s="169">
        <v>5</v>
      </c>
    </row>
    <row r="9" spans="1:23">
      <c r="A9" s="170" t="s">
        <v>265</v>
      </c>
      <c r="B9" s="184" t="s">
        <v>263</v>
      </c>
      <c r="C9" s="169" t="s">
        <v>8</v>
      </c>
      <c r="D9" s="169">
        <v>8</v>
      </c>
      <c r="E9" s="169">
        <v>8</v>
      </c>
      <c r="F9" s="169">
        <v>8</v>
      </c>
      <c r="G9" s="169">
        <v>8</v>
      </c>
      <c r="H9" s="169">
        <v>8</v>
      </c>
      <c r="I9" s="169">
        <v>8</v>
      </c>
      <c r="J9" s="169">
        <v>8</v>
      </c>
      <c r="K9" s="169">
        <v>8</v>
      </c>
      <c r="L9" s="169">
        <v>8</v>
      </c>
      <c r="M9" s="169">
        <v>8</v>
      </c>
      <c r="N9" s="169">
        <v>8</v>
      </c>
      <c r="O9" s="169">
        <v>8</v>
      </c>
      <c r="P9" s="169">
        <v>8</v>
      </c>
      <c r="Q9" s="169">
        <v>8</v>
      </c>
      <c r="R9" s="169">
        <v>8</v>
      </c>
      <c r="S9" s="169">
        <v>8</v>
      </c>
      <c r="T9" s="169">
        <v>8</v>
      </c>
      <c r="U9" s="169">
        <v>8</v>
      </c>
      <c r="V9" s="169">
        <v>8</v>
      </c>
      <c r="W9" s="169">
        <v>8</v>
      </c>
    </row>
    <row r="10" spans="1:23">
      <c r="A10" s="170" t="s">
        <v>266</v>
      </c>
      <c r="B10" s="184" t="s">
        <v>264</v>
      </c>
      <c r="C10" s="169" t="s">
        <v>8</v>
      </c>
      <c r="D10" s="169">
        <v>12</v>
      </c>
      <c r="E10" s="169">
        <v>12</v>
      </c>
      <c r="F10" s="169">
        <v>12</v>
      </c>
      <c r="G10" s="169">
        <v>12</v>
      </c>
      <c r="H10" s="169">
        <v>12</v>
      </c>
      <c r="I10" s="169">
        <v>12</v>
      </c>
      <c r="J10" s="169">
        <v>12</v>
      </c>
      <c r="K10" s="169">
        <v>12</v>
      </c>
      <c r="L10" s="169">
        <v>12</v>
      </c>
      <c r="M10" s="169">
        <v>12</v>
      </c>
      <c r="N10" s="169">
        <v>12</v>
      </c>
      <c r="O10" s="169">
        <v>12</v>
      </c>
      <c r="P10" s="169">
        <v>12</v>
      </c>
      <c r="Q10" s="169">
        <v>12</v>
      </c>
      <c r="R10" s="169">
        <v>12</v>
      </c>
      <c r="S10" s="169">
        <v>12</v>
      </c>
      <c r="T10" s="169">
        <v>12</v>
      </c>
      <c r="U10" s="169">
        <v>12</v>
      </c>
      <c r="V10" s="169">
        <v>12</v>
      </c>
      <c r="W10" s="169">
        <v>12</v>
      </c>
    </row>
    <row r="11" spans="1:23">
      <c r="A11" s="170" t="s">
        <v>270</v>
      </c>
      <c r="B11" s="184" t="s">
        <v>267</v>
      </c>
      <c r="C11" s="169" t="s">
        <v>25</v>
      </c>
      <c r="D11" s="170">
        <v>7.5</v>
      </c>
      <c r="E11" s="170">
        <v>15</v>
      </c>
      <c r="F11" s="170">
        <v>15</v>
      </c>
      <c r="G11" s="170">
        <v>22</v>
      </c>
      <c r="H11" s="170">
        <v>22</v>
      </c>
      <c r="I11" s="170">
        <v>22</v>
      </c>
      <c r="J11" s="170">
        <v>18.5</v>
      </c>
      <c r="K11" s="170">
        <v>37</v>
      </c>
      <c r="L11" s="170">
        <v>45</v>
      </c>
      <c r="M11" s="170">
        <v>27</v>
      </c>
      <c r="N11" s="170">
        <v>37</v>
      </c>
      <c r="O11" s="170">
        <v>37</v>
      </c>
      <c r="P11" s="170">
        <v>40</v>
      </c>
      <c r="Q11" s="170">
        <v>30</v>
      </c>
      <c r="R11" s="170">
        <v>40</v>
      </c>
      <c r="S11" s="170">
        <v>40</v>
      </c>
      <c r="T11" s="170">
        <v>60</v>
      </c>
      <c r="U11" s="170">
        <v>60</v>
      </c>
      <c r="V11" s="170">
        <v>60</v>
      </c>
      <c r="W11" s="170">
        <v>60</v>
      </c>
    </row>
    <row r="12" spans="1:23">
      <c r="A12" s="170" t="s">
        <v>271</v>
      </c>
      <c r="B12" s="184" t="s">
        <v>268</v>
      </c>
      <c r="C12" s="169" t="s">
        <v>25</v>
      </c>
      <c r="D12" s="170">
        <v>13.5</v>
      </c>
      <c r="E12" s="170">
        <v>22</v>
      </c>
      <c r="F12" s="170">
        <v>22</v>
      </c>
      <c r="G12" s="170">
        <v>30</v>
      </c>
      <c r="H12" s="170">
        <v>37</v>
      </c>
      <c r="I12" s="170">
        <v>30</v>
      </c>
      <c r="J12" s="170">
        <v>30</v>
      </c>
      <c r="K12" s="170">
        <v>37</v>
      </c>
      <c r="L12" s="170">
        <v>45</v>
      </c>
      <c r="M12" s="170">
        <v>45</v>
      </c>
      <c r="N12" s="170">
        <v>45</v>
      </c>
      <c r="O12" s="170">
        <v>48</v>
      </c>
      <c r="P12" s="170">
        <v>60</v>
      </c>
      <c r="Q12" s="170">
        <v>60</v>
      </c>
      <c r="R12" s="170">
        <v>90</v>
      </c>
      <c r="S12" s="170">
        <v>60</v>
      </c>
      <c r="T12" s="170">
        <v>90</v>
      </c>
      <c r="U12" s="170">
        <v>90</v>
      </c>
      <c r="V12" s="170">
        <v>90</v>
      </c>
      <c r="W12" s="170">
        <v>90</v>
      </c>
    </row>
    <row r="13" spans="1:23">
      <c r="A13" s="170" t="s">
        <v>272</v>
      </c>
      <c r="B13" s="184" t="s">
        <v>269</v>
      </c>
      <c r="C13" s="169" t="s">
        <v>25</v>
      </c>
      <c r="D13" s="170">
        <v>18.5</v>
      </c>
      <c r="E13" s="170">
        <v>37</v>
      </c>
      <c r="F13" s="170">
        <v>37</v>
      </c>
      <c r="G13" s="170">
        <v>45</v>
      </c>
      <c r="H13" s="170">
        <v>55</v>
      </c>
      <c r="I13" s="170">
        <v>55</v>
      </c>
      <c r="J13" s="170">
        <v>45</v>
      </c>
      <c r="K13" s="170">
        <v>55</v>
      </c>
      <c r="L13" s="170">
        <v>75</v>
      </c>
      <c r="M13" s="170">
        <v>75</v>
      </c>
      <c r="N13" s="170">
        <v>75</v>
      </c>
      <c r="O13" s="170">
        <v>75</v>
      </c>
      <c r="P13" s="170">
        <v>75</v>
      </c>
      <c r="Q13" s="170">
        <v>90</v>
      </c>
      <c r="R13" s="170">
        <v>90</v>
      </c>
      <c r="S13" s="170">
        <v>90</v>
      </c>
      <c r="T13" s="170">
        <v>90</v>
      </c>
      <c r="U13" s="170">
        <v>90</v>
      </c>
      <c r="V13" s="170">
        <v>90</v>
      </c>
      <c r="W13" s="170">
        <v>125</v>
      </c>
    </row>
    <row r="14" spans="1:23">
      <c r="A14" s="170" t="s">
        <v>273</v>
      </c>
      <c r="B14" s="184" t="s">
        <v>172</v>
      </c>
      <c r="C14" s="169" t="s">
        <v>96</v>
      </c>
      <c r="D14" s="170">
        <v>0.6</v>
      </c>
      <c r="E14" s="170">
        <v>0.8</v>
      </c>
      <c r="F14" s="170">
        <v>1</v>
      </c>
      <c r="G14" s="170">
        <v>1.2</v>
      </c>
      <c r="H14" s="170">
        <v>1.3</v>
      </c>
      <c r="I14" s="170">
        <v>1.4</v>
      </c>
      <c r="J14" s="170">
        <v>1.5</v>
      </c>
      <c r="K14" s="170">
        <v>1.6</v>
      </c>
      <c r="L14" s="170">
        <v>1.7</v>
      </c>
      <c r="M14" s="170">
        <v>1.8</v>
      </c>
      <c r="N14" s="170">
        <v>1.9</v>
      </c>
      <c r="O14" s="170">
        <v>1.9</v>
      </c>
      <c r="P14" s="170">
        <v>2</v>
      </c>
      <c r="Q14" s="170">
        <v>2.1</v>
      </c>
      <c r="R14" s="170">
        <v>2.1</v>
      </c>
      <c r="S14" s="170">
        <v>2.2000000000000002</v>
      </c>
      <c r="T14" s="170">
        <v>2.2999999999999998</v>
      </c>
      <c r="U14" s="170">
        <v>2.4</v>
      </c>
      <c r="V14" s="170">
        <v>2.4</v>
      </c>
      <c r="W14" s="170">
        <v>2.5</v>
      </c>
    </row>
    <row r="15" spans="1:23">
      <c r="A15" s="170" t="s">
        <v>178</v>
      </c>
      <c r="B15" s="170" t="s">
        <v>166</v>
      </c>
      <c r="C15" s="170" t="s">
        <v>178</v>
      </c>
      <c r="D15" s="170">
        <v>1</v>
      </c>
      <c r="E15" s="170">
        <v>1</v>
      </c>
      <c r="F15" s="170">
        <v>2</v>
      </c>
      <c r="G15" s="170">
        <v>2</v>
      </c>
      <c r="H15" s="170">
        <v>2</v>
      </c>
      <c r="I15" s="170">
        <v>3</v>
      </c>
      <c r="J15" s="170">
        <v>3</v>
      </c>
      <c r="K15" s="170">
        <v>3</v>
      </c>
      <c r="L15" s="170">
        <v>3</v>
      </c>
      <c r="M15" s="170">
        <v>3</v>
      </c>
      <c r="N15" s="170">
        <v>5</v>
      </c>
      <c r="O15" s="170">
        <v>5</v>
      </c>
      <c r="P15" s="170">
        <v>5</v>
      </c>
      <c r="Q15" s="170">
        <v>5</v>
      </c>
      <c r="R15" s="170">
        <v>5</v>
      </c>
      <c r="S15" s="170">
        <v>5</v>
      </c>
      <c r="T15" s="170">
        <v>5</v>
      </c>
      <c r="U15" s="170">
        <v>5</v>
      </c>
      <c r="V15" s="170">
        <v>5</v>
      </c>
      <c r="W15" s="170">
        <v>5</v>
      </c>
    </row>
    <row r="16" spans="1:23">
      <c r="A16" s="170" t="s">
        <v>274</v>
      </c>
      <c r="B16" s="170" t="s">
        <v>176</v>
      </c>
      <c r="C16" s="170" t="s">
        <v>177</v>
      </c>
      <c r="D16" s="170" t="s">
        <v>181</v>
      </c>
      <c r="E16" s="170" t="s">
        <v>181</v>
      </c>
      <c r="F16" s="170" t="s">
        <v>182</v>
      </c>
      <c r="G16" s="170" t="s">
        <v>182</v>
      </c>
      <c r="H16" s="170" t="s">
        <v>182</v>
      </c>
      <c r="I16" s="170" t="s">
        <v>183</v>
      </c>
      <c r="J16" s="170" t="s">
        <v>183</v>
      </c>
      <c r="K16" s="170" t="s">
        <v>183</v>
      </c>
      <c r="L16" s="170" t="s">
        <v>183</v>
      </c>
      <c r="M16" s="170" t="s">
        <v>183</v>
      </c>
      <c r="N16" s="170" t="s">
        <v>184</v>
      </c>
      <c r="O16" s="170" t="s">
        <v>184</v>
      </c>
      <c r="P16" s="170" t="s">
        <v>184</v>
      </c>
      <c r="Q16" s="170" t="s">
        <v>184</v>
      </c>
      <c r="R16" s="170" t="s">
        <v>184</v>
      </c>
      <c r="S16" s="170" t="s">
        <v>184</v>
      </c>
      <c r="T16" s="170" t="s">
        <v>184</v>
      </c>
      <c r="U16" s="170" t="s">
        <v>184</v>
      </c>
      <c r="V16" s="170" t="s">
        <v>184</v>
      </c>
      <c r="W16" s="170" t="s">
        <v>184</v>
      </c>
    </row>
    <row r="17" spans="1:23">
      <c r="A17" s="170" t="s">
        <v>275</v>
      </c>
      <c r="B17" s="184" t="s">
        <v>160</v>
      </c>
      <c r="C17" s="169" t="s">
        <v>27</v>
      </c>
      <c r="D17" s="169">
        <v>0.35</v>
      </c>
      <c r="E17" s="169">
        <v>0.45</v>
      </c>
      <c r="F17" s="169">
        <v>0.45</v>
      </c>
      <c r="G17" s="169">
        <v>0.5</v>
      </c>
      <c r="H17" s="169">
        <v>0.55000000000000004</v>
      </c>
      <c r="I17" s="169">
        <v>0.5</v>
      </c>
      <c r="J17" s="169" t="s">
        <v>144</v>
      </c>
      <c r="K17" s="169">
        <v>0.6</v>
      </c>
      <c r="L17" s="169">
        <v>0.6</v>
      </c>
      <c r="M17" s="169">
        <v>0.65</v>
      </c>
      <c r="N17" s="169">
        <v>0.6</v>
      </c>
      <c r="O17" s="169">
        <v>0.65</v>
      </c>
      <c r="P17" s="169">
        <v>0.65</v>
      </c>
      <c r="Q17" s="169">
        <v>0.7</v>
      </c>
      <c r="R17" s="169">
        <v>0.7</v>
      </c>
      <c r="S17" s="169">
        <v>0.7</v>
      </c>
      <c r="T17" s="169">
        <v>0.75</v>
      </c>
      <c r="U17" s="169">
        <v>0.75</v>
      </c>
      <c r="V17" s="169">
        <v>0.8</v>
      </c>
      <c r="W17" s="169">
        <v>0.8</v>
      </c>
    </row>
    <row r="18" spans="1:23">
      <c r="A18" s="182" t="s">
        <v>254</v>
      </c>
      <c r="B18" s="185" t="s">
        <v>31</v>
      </c>
      <c r="C18" s="169" t="s">
        <v>32</v>
      </c>
      <c r="D18" s="169">
        <v>1.2</v>
      </c>
      <c r="E18" s="169">
        <v>1.2</v>
      </c>
      <c r="F18" s="169">
        <v>1.2</v>
      </c>
      <c r="G18" s="169">
        <v>1.2</v>
      </c>
      <c r="H18" s="169">
        <v>1.2</v>
      </c>
      <c r="I18" s="169">
        <v>1.2</v>
      </c>
      <c r="J18" s="169">
        <v>1.2</v>
      </c>
      <c r="K18" s="169">
        <v>1.2</v>
      </c>
      <c r="L18" s="169">
        <v>1.2</v>
      </c>
      <c r="M18" s="169">
        <v>1.2</v>
      </c>
      <c r="N18" s="169">
        <v>1.2</v>
      </c>
      <c r="O18" s="169">
        <v>1.2</v>
      </c>
      <c r="P18" s="169">
        <v>1.2</v>
      </c>
      <c r="Q18" s="169">
        <v>1.2</v>
      </c>
      <c r="R18" s="169">
        <v>1.2</v>
      </c>
      <c r="S18" s="169">
        <v>1.2</v>
      </c>
      <c r="T18" s="169">
        <v>1.2</v>
      </c>
      <c r="U18" s="169">
        <v>1.2</v>
      </c>
      <c r="V18" s="169">
        <v>1.2</v>
      </c>
      <c r="W18" s="169">
        <v>1.2</v>
      </c>
    </row>
    <row r="19" spans="1:23">
      <c r="A19" s="182" t="s">
        <v>255</v>
      </c>
      <c r="B19" s="185" t="s">
        <v>33</v>
      </c>
      <c r="C19" s="169" t="s">
        <v>34</v>
      </c>
      <c r="D19" s="169">
        <v>0.7</v>
      </c>
      <c r="E19" s="169">
        <v>0.9</v>
      </c>
      <c r="F19" s="169">
        <v>0.9</v>
      </c>
      <c r="G19" s="169">
        <v>0.9</v>
      </c>
      <c r="H19" s="169">
        <v>1</v>
      </c>
      <c r="I19" s="169">
        <v>1</v>
      </c>
      <c r="J19" s="169">
        <v>1</v>
      </c>
      <c r="K19" s="169">
        <v>1</v>
      </c>
      <c r="L19" s="169">
        <v>1.1000000000000001</v>
      </c>
      <c r="M19" s="169">
        <v>1.2</v>
      </c>
      <c r="N19" s="169">
        <v>1</v>
      </c>
      <c r="O19" s="169">
        <v>1.2</v>
      </c>
      <c r="P19" s="169">
        <v>1.2</v>
      </c>
      <c r="Q19" s="169">
        <v>1.2</v>
      </c>
      <c r="R19" s="169">
        <v>1.2</v>
      </c>
      <c r="S19" s="169">
        <v>1.2</v>
      </c>
      <c r="T19" s="169">
        <v>1.4</v>
      </c>
      <c r="U19" s="169">
        <v>1.4</v>
      </c>
      <c r="V19" s="169">
        <v>1.4</v>
      </c>
      <c r="W19" s="169">
        <v>1.4</v>
      </c>
    </row>
    <row r="20" spans="1:23">
      <c r="A20" s="182" t="s">
        <v>256</v>
      </c>
      <c r="B20" s="185" t="s">
        <v>35</v>
      </c>
      <c r="C20" s="169" t="s">
        <v>36</v>
      </c>
      <c r="D20" s="169">
        <v>0.3</v>
      </c>
      <c r="E20" s="169">
        <v>0.3</v>
      </c>
      <c r="F20" s="169">
        <v>0.3</v>
      </c>
      <c r="G20" s="169">
        <v>0.3</v>
      </c>
      <c r="H20" s="169">
        <v>0.3</v>
      </c>
      <c r="I20" s="169">
        <v>0.3</v>
      </c>
      <c r="J20" s="169">
        <v>0.3</v>
      </c>
      <c r="K20" s="169">
        <v>0.3</v>
      </c>
      <c r="L20" s="169">
        <v>0.3</v>
      </c>
      <c r="M20" s="169">
        <v>0.3</v>
      </c>
      <c r="N20" s="169">
        <v>0.3</v>
      </c>
      <c r="O20" s="169">
        <v>0.3</v>
      </c>
      <c r="P20" s="169">
        <v>0.3</v>
      </c>
      <c r="Q20" s="169">
        <v>0.3</v>
      </c>
      <c r="R20" s="169">
        <v>0.3</v>
      </c>
      <c r="S20" s="169">
        <v>0.3</v>
      </c>
      <c r="T20" s="169">
        <v>0.3</v>
      </c>
      <c r="U20" s="169">
        <v>0.3</v>
      </c>
      <c r="V20" s="169">
        <v>0.3</v>
      </c>
      <c r="W20" s="169">
        <v>0.3</v>
      </c>
    </row>
    <row r="21" spans="1:23">
      <c r="A21" s="182" t="s">
        <v>257</v>
      </c>
      <c r="B21" s="186" t="s">
        <v>258</v>
      </c>
      <c r="C21" s="169" t="s">
        <v>257</v>
      </c>
      <c r="D21" s="169" t="s">
        <v>259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</row>
    <row r="22" spans="1:23">
      <c r="A22" s="182" t="s">
        <v>236</v>
      </c>
      <c r="B22" s="187" t="s">
        <v>94</v>
      </c>
      <c r="C22" s="169" t="s">
        <v>37</v>
      </c>
      <c r="D22" s="176">
        <v>9.1999999999999993</v>
      </c>
      <c r="E22" s="176">
        <v>9.4</v>
      </c>
      <c r="F22" s="176">
        <v>9.4</v>
      </c>
      <c r="G22" s="176">
        <v>9.4</v>
      </c>
      <c r="H22" s="176">
        <v>9.5</v>
      </c>
      <c r="I22" s="176">
        <v>9.5</v>
      </c>
      <c r="J22" s="176">
        <v>9.5</v>
      </c>
      <c r="K22" s="176">
        <v>9.5</v>
      </c>
      <c r="L22" s="176">
        <v>9.6</v>
      </c>
      <c r="M22" s="176">
        <v>9.6999999999999993</v>
      </c>
      <c r="N22" s="176">
        <v>9.5</v>
      </c>
      <c r="O22" s="176">
        <v>9.6999999999999993</v>
      </c>
      <c r="P22" s="176">
        <v>9.6999999999999993</v>
      </c>
      <c r="Q22" s="176">
        <v>9.6999999999999993</v>
      </c>
      <c r="R22" s="176">
        <v>9.6999999999999993</v>
      </c>
      <c r="S22" s="176">
        <v>9.6999999999999993</v>
      </c>
      <c r="T22" s="176">
        <v>9.8999999999999986</v>
      </c>
      <c r="U22" s="176">
        <v>9.8999999999999986</v>
      </c>
      <c r="V22" s="176">
        <v>9.8999999999999986</v>
      </c>
      <c r="W22" s="176">
        <v>9.8999999999999986</v>
      </c>
    </row>
    <row r="23" spans="1:23">
      <c r="A23" s="182" t="s">
        <v>291</v>
      </c>
      <c r="B23" s="188" t="s">
        <v>157</v>
      </c>
      <c r="C23" s="169" t="s">
        <v>96</v>
      </c>
      <c r="D23" s="176">
        <v>9.1999999999999993</v>
      </c>
      <c r="E23" s="176">
        <v>9.4</v>
      </c>
      <c r="F23" s="176">
        <v>9.4</v>
      </c>
      <c r="G23" s="176">
        <v>9.4</v>
      </c>
      <c r="H23" s="176">
        <v>9.5</v>
      </c>
      <c r="I23" s="176">
        <v>9.5</v>
      </c>
      <c r="J23" s="176">
        <v>9.5</v>
      </c>
      <c r="K23" s="176">
        <v>9.5</v>
      </c>
      <c r="L23" s="176">
        <v>9.6</v>
      </c>
      <c r="M23" s="176">
        <v>9.6999999999999993</v>
      </c>
      <c r="N23" s="176">
        <v>9.5</v>
      </c>
      <c r="O23" s="176">
        <v>9.6999999999999993</v>
      </c>
      <c r="P23" s="176">
        <v>9.6999999999999993</v>
      </c>
      <c r="Q23" s="176">
        <v>9.6999999999999993</v>
      </c>
      <c r="R23" s="176">
        <v>9.6999999999999993</v>
      </c>
      <c r="S23" s="176">
        <v>9.6999999999999993</v>
      </c>
      <c r="T23" s="176">
        <v>9.8999999999999986</v>
      </c>
      <c r="U23" s="176">
        <v>9.8999999999999986</v>
      </c>
      <c r="V23" s="176">
        <v>9.8999999999999986</v>
      </c>
      <c r="W23" s="176">
        <v>9.8999999999999986</v>
      </c>
    </row>
    <row r="24" spans="1:23">
      <c r="A24" s="182" t="s">
        <v>239</v>
      </c>
      <c r="B24" s="188" t="s">
        <v>186</v>
      </c>
      <c r="C24" s="169" t="s">
        <v>27</v>
      </c>
      <c r="D24" s="133">
        <v>5.5</v>
      </c>
      <c r="E24" s="133">
        <v>7</v>
      </c>
      <c r="F24" s="133">
        <v>7</v>
      </c>
      <c r="G24" s="133">
        <v>8</v>
      </c>
      <c r="H24" s="133">
        <v>9</v>
      </c>
      <c r="I24" s="133">
        <v>8.5</v>
      </c>
      <c r="J24" s="133">
        <v>9</v>
      </c>
      <c r="K24" s="133">
        <v>9.5</v>
      </c>
      <c r="L24" s="133">
        <v>10</v>
      </c>
      <c r="M24" s="133">
        <v>10.5</v>
      </c>
      <c r="N24" s="133">
        <v>10</v>
      </c>
      <c r="O24" s="133">
        <v>10.5</v>
      </c>
      <c r="P24" s="133">
        <v>10.5</v>
      </c>
      <c r="Q24" s="133">
        <v>11</v>
      </c>
      <c r="R24" s="133">
        <v>11.5</v>
      </c>
      <c r="S24" s="133">
        <v>12</v>
      </c>
      <c r="T24" s="133">
        <v>12</v>
      </c>
      <c r="U24" s="133">
        <v>12.5</v>
      </c>
      <c r="V24" s="133">
        <v>13</v>
      </c>
      <c r="W24" s="133">
        <v>13</v>
      </c>
    </row>
    <row r="25" spans="1:23">
      <c r="A25" s="182" t="s">
        <v>238</v>
      </c>
      <c r="B25" s="188" t="s">
        <v>187</v>
      </c>
      <c r="C25" s="169" t="s">
        <v>27</v>
      </c>
      <c r="D25" s="133">
        <v>9.9</v>
      </c>
      <c r="E25" s="133">
        <v>12.6</v>
      </c>
      <c r="F25" s="133">
        <v>12.6</v>
      </c>
      <c r="G25" s="133">
        <v>14.4</v>
      </c>
      <c r="H25" s="133">
        <v>16.2</v>
      </c>
      <c r="I25" s="133">
        <v>15.3</v>
      </c>
      <c r="J25" s="133">
        <v>16.2</v>
      </c>
      <c r="K25" s="133">
        <v>17.100000000000001</v>
      </c>
      <c r="L25" s="133">
        <v>18</v>
      </c>
      <c r="M25" s="133">
        <v>18.900000000000002</v>
      </c>
      <c r="N25" s="133">
        <v>18</v>
      </c>
      <c r="O25" s="133">
        <v>18.900000000000002</v>
      </c>
      <c r="P25" s="133">
        <v>18.900000000000002</v>
      </c>
      <c r="Q25" s="133">
        <v>19.8</v>
      </c>
      <c r="R25" s="133">
        <v>20.7</v>
      </c>
      <c r="S25" s="133">
        <v>21.6</v>
      </c>
      <c r="T25" s="133">
        <v>21.6</v>
      </c>
      <c r="U25" s="133">
        <v>22.5</v>
      </c>
      <c r="V25" s="133">
        <v>23.400000000000002</v>
      </c>
      <c r="W25" s="133">
        <v>23.400000000000002</v>
      </c>
    </row>
    <row r="26" spans="1:23">
      <c r="A26" s="182" t="s">
        <v>241</v>
      </c>
      <c r="B26" s="188" t="s">
        <v>205</v>
      </c>
      <c r="C26" s="169" t="s">
        <v>96</v>
      </c>
      <c r="D26" s="133">
        <v>1.0314814814814814</v>
      </c>
      <c r="E26" s="133">
        <v>0.96296296296296302</v>
      </c>
      <c r="F26" s="133">
        <v>0.99444444444444446</v>
      </c>
      <c r="G26" s="133">
        <v>1.0259259259259259</v>
      </c>
      <c r="H26" s="133">
        <v>1.1574074074074074</v>
      </c>
      <c r="I26" s="133">
        <v>1.3888888888888888</v>
      </c>
      <c r="J26" s="133">
        <v>1.6203703703703702</v>
      </c>
      <c r="K26" s="133">
        <v>1.8518518518518519</v>
      </c>
      <c r="L26" s="133">
        <v>2.0833333333333335</v>
      </c>
      <c r="M26" s="133">
        <v>2.3148148148148149</v>
      </c>
      <c r="N26" s="133">
        <v>1.6975308641975309</v>
      </c>
      <c r="O26" s="133">
        <v>1.8518518518518519</v>
      </c>
      <c r="P26" s="133">
        <v>2.0061728395061729</v>
      </c>
      <c r="Q26" s="133">
        <v>2.1604938271604937</v>
      </c>
      <c r="R26" s="133">
        <v>2.3148148148148149</v>
      </c>
      <c r="S26" s="133">
        <v>2.4691358024691357</v>
      </c>
      <c r="T26" s="133">
        <v>2.6234567901234569</v>
      </c>
      <c r="U26" s="133">
        <v>2.7777777777777781</v>
      </c>
      <c r="V26" s="133">
        <v>2.9320987654320985</v>
      </c>
      <c r="W26" s="133">
        <v>3.0864197530864197</v>
      </c>
    </row>
    <row r="27" spans="1:23">
      <c r="A27" s="182" t="s">
        <v>242</v>
      </c>
      <c r="B27" s="188" t="s">
        <v>240</v>
      </c>
      <c r="C27" s="169" t="s">
        <v>154</v>
      </c>
      <c r="D27" s="177">
        <v>1.5</v>
      </c>
      <c r="E27" s="177">
        <v>1.5</v>
      </c>
      <c r="F27" s="177">
        <v>1.5</v>
      </c>
      <c r="G27" s="177">
        <v>1.7</v>
      </c>
      <c r="H27" s="177">
        <v>1.9</v>
      </c>
      <c r="I27" s="177">
        <v>2</v>
      </c>
      <c r="J27" s="177">
        <v>2.1</v>
      </c>
      <c r="K27" s="177">
        <v>2.2000000000000002</v>
      </c>
      <c r="L27" s="177">
        <v>2.2999999999999998</v>
      </c>
      <c r="M27" s="177">
        <v>2.4</v>
      </c>
      <c r="N27" s="177">
        <v>2.5</v>
      </c>
      <c r="O27" s="177">
        <v>2.6</v>
      </c>
      <c r="P27" s="177">
        <v>2.7</v>
      </c>
      <c r="Q27" s="177">
        <v>2.8</v>
      </c>
      <c r="R27" s="177">
        <v>2.9</v>
      </c>
      <c r="S27" s="177">
        <v>3</v>
      </c>
      <c r="T27" s="177">
        <v>3.1</v>
      </c>
      <c r="U27" s="177">
        <v>3.2</v>
      </c>
      <c r="V27" s="177">
        <v>3.3</v>
      </c>
      <c r="W27" s="177">
        <v>3.4</v>
      </c>
    </row>
    <row r="28" spans="1:23">
      <c r="A28" s="182" t="s">
        <v>247</v>
      </c>
      <c r="B28" s="188" t="s">
        <v>248</v>
      </c>
      <c r="C28" s="169" t="s">
        <v>96</v>
      </c>
      <c r="D28" s="177">
        <v>5</v>
      </c>
      <c r="E28" s="177">
        <v>5</v>
      </c>
      <c r="F28" s="177">
        <v>5</v>
      </c>
      <c r="G28" s="177">
        <v>5</v>
      </c>
      <c r="H28" s="177">
        <v>5</v>
      </c>
      <c r="I28" s="177">
        <v>5</v>
      </c>
      <c r="J28" s="177">
        <v>5</v>
      </c>
      <c r="K28" s="177">
        <v>5</v>
      </c>
      <c r="L28" s="177">
        <v>5</v>
      </c>
      <c r="M28" s="177">
        <v>5</v>
      </c>
      <c r="N28" s="177">
        <v>5</v>
      </c>
      <c r="O28" s="177">
        <v>5</v>
      </c>
      <c r="P28" s="177">
        <v>5</v>
      </c>
      <c r="Q28" s="177">
        <v>5</v>
      </c>
      <c r="R28" s="177">
        <v>5</v>
      </c>
      <c r="S28" s="177">
        <v>5</v>
      </c>
      <c r="T28" s="177">
        <v>5</v>
      </c>
      <c r="U28" s="177">
        <v>5</v>
      </c>
      <c r="V28" s="177">
        <v>5</v>
      </c>
      <c r="W28" s="177">
        <v>5</v>
      </c>
    </row>
    <row r="29" spans="1:23">
      <c r="A29" s="189" t="s">
        <v>289</v>
      </c>
      <c r="B29" s="189" t="s">
        <v>282</v>
      </c>
      <c r="C29" s="189" t="s">
        <v>154</v>
      </c>
      <c r="D29" s="176">
        <v>2</v>
      </c>
      <c r="E29" s="176">
        <v>2</v>
      </c>
      <c r="F29" s="176">
        <v>2</v>
      </c>
      <c r="G29" s="176">
        <v>2</v>
      </c>
      <c r="H29" s="176">
        <v>3</v>
      </c>
      <c r="I29" s="176">
        <v>3</v>
      </c>
      <c r="J29" s="176">
        <v>4</v>
      </c>
      <c r="K29" s="176">
        <v>4</v>
      </c>
      <c r="L29" s="176">
        <v>5</v>
      </c>
      <c r="M29" s="176">
        <v>5</v>
      </c>
      <c r="N29" s="176">
        <v>6</v>
      </c>
      <c r="O29" s="176">
        <v>6</v>
      </c>
      <c r="P29" s="176">
        <v>6</v>
      </c>
      <c r="Q29" s="176">
        <v>7</v>
      </c>
      <c r="R29" s="176">
        <v>7</v>
      </c>
      <c r="S29" s="176">
        <v>8</v>
      </c>
      <c r="T29" s="176">
        <v>8</v>
      </c>
      <c r="U29" s="176">
        <v>9</v>
      </c>
      <c r="V29" s="176">
        <v>9</v>
      </c>
      <c r="W29" s="176">
        <v>10</v>
      </c>
    </row>
    <row r="30" spans="1:23">
      <c r="A30" s="182" t="s">
        <v>281</v>
      </c>
      <c r="B30" s="189" t="s">
        <v>290</v>
      </c>
      <c r="C30" s="169" t="s">
        <v>96</v>
      </c>
      <c r="D30" s="176">
        <v>0.45</v>
      </c>
      <c r="E30" s="176">
        <v>0.6</v>
      </c>
      <c r="F30" s="176">
        <v>0.7</v>
      </c>
      <c r="G30" s="176">
        <v>0.8</v>
      </c>
      <c r="H30" s="176">
        <v>0.8</v>
      </c>
      <c r="I30" s="176">
        <v>0.8</v>
      </c>
      <c r="J30" s="176">
        <v>0.8</v>
      </c>
      <c r="K30" s="176">
        <v>0.8</v>
      </c>
      <c r="L30" s="176">
        <v>0.8</v>
      </c>
      <c r="M30" s="176">
        <v>0.8</v>
      </c>
      <c r="N30" s="176">
        <v>0.8</v>
      </c>
      <c r="O30" s="176">
        <v>0.8</v>
      </c>
      <c r="P30" s="176">
        <v>0.8</v>
      </c>
      <c r="Q30" s="176">
        <v>0.8</v>
      </c>
      <c r="R30" s="176">
        <v>0.8</v>
      </c>
      <c r="S30" s="176">
        <v>0.8</v>
      </c>
      <c r="T30" s="176">
        <v>0.8</v>
      </c>
      <c r="U30" s="176">
        <v>0.8</v>
      </c>
      <c r="V30" s="176">
        <v>0.8</v>
      </c>
      <c r="W30" s="176">
        <v>0.8</v>
      </c>
    </row>
    <row r="31" spans="1:23">
      <c r="A31" s="182" t="s">
        <v>246</v>
      </c>
      <c r="B31" s="188" t="s">
        <v>219</v>
      </c>
      <c r="C31" s="169" t="s">
        <v>96</v>
      </c>
      <c r="D31" s="162" t="s">
        <v>283</v>
      </c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9"/>
    </row>
    <row r="32" spans="1:23">
      <c r="A32" s="182" t="s">
        <v>245</v>
      </c>
      <c r="B32" s="188" t="s">
        <v>218</v>
      </c>
      <c r="C32" s="169" t="s">
        <v>96</v>
      </c>
      <c r="D32" s="162" t="s">
        <v>284</v>
      </c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9"/>
    </row>
    <row r="33" spans="1:23">
      <c r="A33" s="182" t="s">
        <v>244</v>
      </c>
      <c r="B33" s="188" t="s">
        <v>217</v>
      </c>
      <c r="C33" s="169" t="s">
        <v>96</v>
      </c>
      <c r="D33" s="162" t="s">
        <v>285</v>
      </c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9"/>
    </row>
    <row r="34" spans="1:23">
      <c r="A34" s="182" t="s">
        <v>237</v>
      </c>
      <c r="B34" s="188" t="s">
        <v>216</v>
      </c>
      <c r="C34" s="169" t="s">
        <v>96</v>
      </c>
      <c r="D34" s="162" t="s">
        <v>286</v>
      </c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9"/>
    </row>
    <row r="35" spans="1:23">
      <c r="A35" s="182" t="s">
        <v>243</v>
      </c>
      <c r="B35" s="188" t="s">
        <v>215</v>
      </c>
      <c r="C35" s="169" t="s">
        <v>96</v>
      </c>
      <c r="D35" s="162" t="s">
        <v>287</v>
      </c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9"/>
    </row>
    <row r="36" spans="1:23">
      <c r="A36" s="189" t="s">
        <v>278</v>
      </c>
      <c r="B36" s="189" t="s">
        <v>279</v>
      </c>
      <c r="C36" s="169" t="s">
        <v>96</v>
      </c>
      <c r="D36" s="172" t="s">
        <v>280</v>
      </c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9"/>
    </row>
    <row r="37" spans="1:23">
      <c r="A37" s="182" t="s">
        <v>276</v>
      </c>
      <c r="B37" s="189" t="s">
        <v>277</v>
      </c>
      <c r="C37" s="169" t="s">
        <v>96</v>
      </c>
      <c r="D37" s="162" t="s">
        <v>288</v>
      </c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9"/>
    </row>
  </sheetData>
  <phoneticPr fontId="2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D5"/>
  <sheetViews>
    <sheetView workbookViewId="0">
      <selection activeCell="E7" sqref="E7"/>
    </sheetView>
  </sheetViews>
  <sheetFormatPr baseColWidth="10" defaultColWidth="8.83203125" defaultRowHeight="15"/>
  <sheetData>
    <row r="1" spans="1:4">
      <c r="A1" s="80" t="s">
        <v>149</v>
      </c>
      <c r="B1" s="80" t="s">
        <v>150</v>
      </c>
      <c r="C1" s="81"/>
      <c r="D1" s="81"/>
    </row>
    <row r="2" spans="1:4" ht="16">
      <c r="B2" s="41"/>
      <c r="C2" s="41" t="s">
        <v>147</v>
      </c>
      <c r="D2" s="79">
        <f>MAX(D3:D5)</f>
        <v>12</v>
      </c>
    </row>
    <row r="3" spans="1:4" ht="16">
      <c r="B3" s="41">
        <f>IF(('输入&amp;输出'!C5-'输入&amp;输出'!C4)&gt;=9,1,0)</f>
        <v>1</v>
      </c>
      <c r="C3" s="41">
        <v>12</v>
      </c>
      <c r="D3" s="41">
        <f>B3*C3</f>
        <v>12</v>
      </c>
    </row>
    <row r="4" spans="1:4" ht="16">
      <c r="B4" s="41">
        <f>IF(AND(('输入&amp;输出'!C5-'输入&amp;输出'!C4)&lt;9,('输入&amp;输出'!C5-'输入&amp;输出'!C4)&gt;6),1,0)</f>
        <v>0</v>
      </c>
      <c r="C4" s="41">
        <v>8</v>
      </c>
      <c r="D4" s="41">
        <f>B4*C4</f>
        <v>0</v>
      </c>
    </row>
    <row r="5" spans="1:4" ht="16">
      <c r="B5" s="41">
        <f>IF(('输入&amp;输出'!C5-'输入&amp;输出'!C4)&lt;=6,1,0)</f>
        <v>0</v>
      </c>
      <c r="C5" s="41">
        <v>5</v>
      </c>
      <c r="D5" s="41">
        <f>B5*C5</f>
        <v>0</v>
      </c>
    </row>
  </sheetData>
  <phoneticPr fontId="1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2:W75"/>
  <sheetViews>
    <sheetView zoomScale="70" zoomScaleNormal="70" workbookViewId="0">
      <selection activeCell="N32" sqref="N32"/>
    </sheetView>
  </sheetViews>
  <sheetFormatPr baseColWidth="10" defaultColWidth="8.83203125" defaultRowHeight="15"/>
  <cols>
    <col min="6" max="6" width="10.6640625" style="1" customWidth="1"/>
    <col min="7" max="11" width="8.6640625" style="1" customWidth="1"/>
  </cols>
  <sheetData>
    <row r="2" spans="1:22" ht="16">
      <c r="A2" s="190"/>
      <c r="B2" s="190"/>
      <c r="C2" s="190"/>
      <c r="D2" s="190"/>
      <c r="E2" s="190"/>
      <c r="F2" s="191"/>
      <c r="G2" s="192"/>
      <c r="H2" s="193" t="s">
        <v>292</v>
      </c>
      <c r="I2" s="191"/>
      <c r="J2" s="191"/>
      <c r="K2" s="191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</row>
    <row r="3" spans="1:22" ht="16">
      <c r="A3" s="190"/>
      <c r="B3" s="190"/>
      <c r="C3" s="190"/>
      <c r="D3" s="190"/>
      <c r="E3" s="190"/>
      <c r="F3" s="191"/>
      <c r="G3" s="194"/>
      <c r="H3" s="193" t="s">
        <v>293</v>
      </c>
      <c r="I3" s="191"/>
      <c r="J3" s="191"/>
      <c r="K3" s="191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</row>
    <row r="4" spans="1:22" ht="16">
      <c r="A4" s="190"/>
      <c r="B4" s="190"/>
      <c r="C4" s="190"/>
      <c r="D4" s="190"/>
      <c r="E4" s="190"/>
      <c r="F4" s="191"/>
      <c r="G4" s="191"/>
      <c r="H4" s="191"/>
      <c r="I4" s="191"/>
      <c r="J4" s="191"/>
      <c r="K4" s="191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</row>
    <row r="5" spans="1:22" ht="34">
      <c r="A5" s="613" t="s">
        <v>294</v>
      </c>
      <c r="B5" s="195" t="s">
        <v>295</v>
      </c>
      <c r="C5" s="195" t="s">
        <v>296</v>
      </c>
      <c r="D5" s="190"/>
      <c r="E5" s="190"/>
      <c r="F5" s="191"/>
      <c r="G5" s="191"/>
      <c r="H5" s="191"/>
      <c r="I5" s="191"/>
      <c r="J5" s="613" t="s">
        <v>294</v>
      </c>
      <c r="K5" s="613"/>
      <c r="L5" s="613"/>
      <c r="M5" s="613"/>
      <c r="N5" s="613"/>
      <c r="O5" s="613"/>
      <c r="P5" s="613"/>
      <c r="Q5" s="613"/>
      <c r="R5" s="613"/>
      <c r="S5" s="190"/>
      <c r="T5" s="196" t="s">
        <v>297</v>
      </c>
      <c r="U5" s="197">
        <v>100</v>
      </c>
      <c r="V5" s="191" t="s">
        <v>298</v>
      </c>
    </row>
    <row r="6" spans="1:22" ht="51">
      <c r="A6" s="613"/>
      <c r="B6" s="198">
        <v>5</v>
      </c>
      <c r="C6" s="198">
        <v>2.2999999999999998</v>
      </c>
      <c r="D6" s="190"/>
      <c r="E6" s="196" t="s">
        <v>297</v>
      </c>
      <c r="F6" s="197">
        <v>50000</v>
      </c>
      <c r="G6" s="191" t="s">
        <v>298</v>
      </c>
      <c r="H6" s="191"/>
      <c r="I6" s="191"/>
      <c r="J6" s="195" t="s">
        <v>295</v>
      </c>
      <c r="K6" s="198">
        <v>5</v>
      </c>
      <c r="L6" s="198">
        <v>15</v>
      </c>
      <c r="M6" s="198">
        <v>40</v>
      </c>
      <c r="N6" s="198">
        <v>70</v>
      </c>
      <c r="O6" s="198">
        <v>100</v>
      </c>
      <c r="P6" s="198">
        <v>200</v>
      </c>
      <c r="Q6" s="198">
        <v>500</v>
      </c>
      <c r="R6" s="198">
        <v>1000</v>
      </c>
      <c r="S6" s="190"/>
      <c r="T6" s="196" t="s">
        <v>297</v>
      </c>
      <c r="U6" s="199">
        <f>U5*1000/24/3600</f>
        <v>1.1574074074074074</v>
      </c>
      <c r="V6" s="191" t="s">
        <v>299</v>
      </c>
    </row>
    <row r="7" spans="1:22" ht="34">
      <c r="A7" s="613"/>
      <c r="B7" s="198">
        <v>15</v>
      </c>
      <c r="C7" s="198">
        <v>2</v>
      </c>
      <c r="D7" s="190"/>
      <c r="E7" s="196" t="s">
        <v>297</v>
      </c>
      <c r="F7" s="199">
        <f>F6*1000/24/3600</f>
        <v>578.7037037037037</v>
      </c>
      <c r="G7" s="191" t="s">
        <v>299</v>
      </c>
      <c r="H7" s="191"/>
      <c r="I7" s="191"/>
      <c r="J7" s="195" t="s">
        <v>296</v>
      </c>
      <c r="K7" s="198">
        <v>2.2999999999999998</v>
      </c>
      <c r="L7" s="198">
        <v>2</v>
      </c>
      <c r="M7" s="198">
        <v>1.8</v>
      </c>
      <c r="N7" s="198">
        <v>1.7</v>
      </c>
      <c r="O7" s="198">
        <v>1.6</v>
      </c>
      <c r="P7" s="198">
        <v>1.5</v>
      </c>
      <c r="Q7" s="198">
        <v>1.4</v>
      </c>
      <c r="R7" s="198">
        <v>1.3</v>
      </c>
      <c r="S7" s="190"/>
      <c r="T7" s="196" t="s">
        <v>300</v>
      </c>
      <c r="U7" s="200">
        <f t="array" aca="1" ref="U7" ca="1">IF(U5="","",IFERROR(_xlfn.IFS(U6&lt;K6,K7,AND(U6&gt;=K6,U6&lt;=R6),ROUND(TREND(OFFSET(J7,,MATCH(U6,K6:R6),,2),OFFSET(J6,,MATCH(U6,K6:R6),,2),U6),2),U6&gt;R6,R7),"请输入流量"))</f>
        <v>2.2999999999999998</v>
      </c>
      <c r="V7" s="191"/>
    </row>
    <row r="8" spans="1:22" ht="16">
      <c r="A8" s="613"/>
      <c r="B8" s="198">
        <v>40</v>
      </c>
      <c r="C8" s="198">
        <v>1.8</v>
      </c>
      <c r="D8" s="190"/>
      <c r="E8" s="196" t="s">
        <v>300</v>
      </c>
      <c r="F8" s="200">
        <f t="array" aca="1" ref="F8" ca="1">IF(F6="","",IFERROR(_xlfn.IFS(F7&lt;B6,C6,AND(F7&gt;=B6,F7&lt;=B13),ROUND(TREND(OFFSET(C5,MATCH(F7,B6:B13,1),,2),OFFSET(B5,MATCH(F7,B6:B13),,2),F7),2),F7&gt;B13,C13),"请输入流量"))</f>
        <v>1.38</v>
      </c>
      <c r="G8" s="191"/>
      <c r="H8" s="191"/>
      <c r="I8" s="191"/>
      <c r="J8" s="191"/>
      <c r="K8" s="191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</row>
    <row r="9" spans="1:22" ht="16">
      <c r="A9" s="613"/>
      <c r="B9" s="198">
        <v>70</v>
      </c>
      <c r="C9" s="198">
        <v>1.7</v>
      </c>
      <c r="D9" s="190"/>
      <c r="E9" s="190"/>
      <c r="F9" s="191"/>
      <c r="G9" s="191"/>
      <c r="H9" s="191"/>
      <c r="I9" s="191"/>
      <c r="J9" s="191"/>
      <c r="K9" s="191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</row>
    <row r="10" spans="1:22" ht="16">
      <c r="A10" s="613"/>
      <c r="B10" s="198">
        <v>100</v>
      </c>
      <c r="C10" s="198">
        <v>1.6</v>
      </c>
      <c r="D10" s="190"/>
      <c r="E10" s="190"/>
      <c r="F10" s="191"/>
      <c r="G10" s="191"/>
      <c r="H10" s="191"/>
      <c r="I10" s="191"/>
      <c r="J10" s="191"/>
      <c r="K10" s="191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</row>
    <row r="11" spans="1:22" ht="16">
      <c r="A11" s="613"/>
      <c r="B11" s="198">
        <v>200</v>
      </c>
      <c r="C11" s="198">
        <v>1.5</v>
      </c>
      <c r="D11" s="190"/>
      <c r="E11" s="190"/>
      <c r="F11" s="191"/>
      <c r="G11" s="191"/>
      <c r="H11" s="191"/>
      <c r="I11" s="191"/>
      <c r="J11" s="191"/>
      <c r="K11" s="191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</row>
    <row r="12" spans="1:22" ht="16">
      <c r="A12" s="613"/>
      <c r="B12" s="198">
        <v>500</v>
      </c>
      <c r="C12" s="198">
        <v>1.4</v>
      </c>
      <c r="D12" s="190"/>
      <c r="E12" s="190"/>
      <c r="F12" s="191"/>
      <c r="G12" s="191"/>
      <c r="H12" s="191"/>
      <c r="I12" s="191"/>
      <c r="J12" s="191"/>
      <c r="K12" s="191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</row>
    <row r="13" spans="1:22" ht="16">
      <c r="A13" s="613"/>
      <c r="B13" s="198">
        <v>1000</v>
      </c>
      <c r="C13" s="198">
        <v>1.3</v>
      </c>
      <c r="D13" s="190"/>
      <c r="E13" s="190"/>
      <c r="F13" s="191"/>
      <c r="G13" s="191"/>
      <c r="H13" s="191"/>
      <c r="I13" s="191"/>
      <c r="J13" s="191"/>
      <c r="K13" s="191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</row>
    <row r="14" spans="1:22" ht="16">
      <c r="A14" s="191"/>
      <c r="B14" s="191"/>
      <c r="C14" s="191"/>
      <c r="D14" s="190"/>
      <c r="E14" s="190"/>
      <c r="F14" s="191"/>
      <c r="G14" s="191"/>
      <c r="H14" s="191"/>
      <c r="I14" s="191"/>
      <c r="J14" s="191"/>
      <c r="K14" s="191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</row>
    <row r="15" spans="1:22" ht="16">
      <c r="A15" s="191"/>
      <c r="B15" s="191"/>
      <c r="C15" s="191"/>
      <c r="D15" s="190"/>
      <c r="E15" s="190"/>
      <c r="F15" s="191"/>
      <c r="G15" s="191"/>
      <c r="H15" s="191"/>
      <c r="I15" s="191"/>
      <c r="J15" s="191"/>
      <c r="K15" s="191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90"/>
    </row>
    <row r="16" spans="1:22" ht="34">
      <c r="A16" s="602" t="s">
        <v>301</v>
      </c>
      <c r="B16" s="195" t="s">
        <v>295</v>
      </c>
      <c r="C16" s="195" t="s">
        <v>296</v>
      </c>
      <c r="D16" s="190"/>
      <c r="E16" s="190"/>
      <c r="F16" s="191"/>
      <c r="G16" s="191"/>
      <c r="H16" s="191"/>
      <c r="I16" s="191"/>
      <c r="J16" s="602" t="s">
        <v>301</v>
      </c>
      <c r="K16" s="602"/>
      <c r="L16" s="602"/>
      <c r="M16" s="602"/>
      <c r="N16" s="602"/>
      <c r="O16" s="602"/>
      <c r="P16" s="602"/>
      <c r="Q16" s="602"/>
      <c r="R16" s="602"/>
      <c r="S16" s="190"/>
      <c r="T16" s="196" t="s">
        <v>297</v>
      </c>
      <c r="U16" s="197">
        <v>50000</v>
      </c>
      <c r="V16" s="191" t="s">
        <v>298</v>
      </c>
    </row>
    <row r="17" spans="1:22" ht="51">
      <c r="A17" s="602"/>
      <c r="B17" s="198">
        <v>5</v>
      </c>
      <c r="C17" s="198">
        <v>2.7</v>
      </c>
      <c r="D17" s="190"/>
      <c r="E17" s="196" t="s">
        <v>297</v>
      </c>
      <c r="F17" s="197">
        <v>50000</v>
      </c>
      <c r="G17" s="191" t="s">
        <v>298</v>
      </c>
      <c r="H17" s="191"/>
      <c r="I17" s="191"/>
      <c r="J17" s="195" t="s">
        <v>295</v>
      </c>
      <c r="K17" s="198">
        <v>5</v>
      </c>
      <c r="L17" s="198">
        <v>15</v>
      </c>
      <c r="M17" s="198">
        <v>40</v>
      </c>
      <c r="N17" s="198">
        <v>70</v>
      </c>
      <c r="O17" s="198">
        <v>100</v>
      </c>
      <c r="P17" s="198">
        <v>200</v>
      </c>
      <c r="Q17" s="198">
        <v>500</v>
      </c>
      <c r="R17" s="198">
        <v>1000</v>
      </c>
      <c r="S17" s="190"/>
      <c r="T17" s="196" t="s">
        <v>297</v>
      </c>
      <c r="U17" s="199">
        <f>U16*1000/24/3600</f>
        <v>578.7037037037037</v>
      </c>
      <c r="V17" s="191" t="s">
        <v>299</v>
      </c>
    </row>
    <row r="18" spans="1:22" ht="34">
      <c r="A18" s="602"/>
      <c r="B18" s="198">
        <v>15</v>
      </c>
      <c r="C18" s="198">
        <v>2.4</v>
      </c>
      <c r="D18" s="190"/>
      <c r="E18" s="196" t="s">
        <v>297</v>
      </c>
      <c r="F18" s="199">
        <f>F17*1000/24/3600</f>
        <v>578.7037037037037</v>
      </c>
      <c r="G18" s="191" t="s">
        <v>299</v>
      </c>
      <c r="H18" s="191"/>
      <c r="I18" s="191"/>
      <c r="J18" s="195" t="s">
        <v>296</v>
      </c>
      <c r="K18" s="198">
        <v>2.7</v>
      </c>
      <c r="L18" s="198">
        <v>2.4</v>
      </c>
      <c r="M18" s="198">
        <v>2.1</v>
      </c>
      <c r="N18" s="198">
        <v>2</v>
      </c>
      <c r="O18" s="198">
        <v>1.9</v>
      </c>
      <c r="P18" s="198">
        <v>1.8</v>
      </c>
      <c r="Q18" s="198">
        <v>1.6</v>
      </c>
      <c r="R18" s="198">
        <v>1.5</v>
      </c>
      <c r="S18" s="190"/>
      <c r="T18" s="196" t="s">
        <v>300</v>
      </c>
      <c r="U18" s="200">
        <f t="array" aca="1" ref="U18" ca="1">IF(U16="","",IFERROR(_xlfn.IFS(U17&lt;K17,K18,AND(U17&gt;=K17,U17&lt;=R17),ROUND(TREND(OFFSET(J18,,MATCH(U17,K17:R17),,2),OFFSET(J17,,MATCH(U17,K17:R17),,2),U17),2),U17&gt;R17,R18),"请输入流量"))</f>
        <v>1.58</v>
      </c>
      <c r="V18" s="191"/>
    </row>
    <row r="19" spans="1:22" ht="16">
      <c r="A19" s="602"/>
      <c r="B19" s="198">
        <v>40</v>
      </c>
      <c r="C19" s="198">
        <v>2.1</v>
      </c>
      <c r="D19" s="190"/>
      <c r="E19" s="196" t="s">
        <v>300</v>
      </c>
      <c r="F19" s="200">
        <f t="array" aca="1" ref="F19" ca="1">IF(F17="","",IFERROR(_xlfn.IFS(F18&lt;B17,C17,AND(F18&gt;=B17,F18&lt;=B24),ROUND(TREND(OFFSET(C16,MATCH(F18,B17:B24,1),,2),OFFSET(B16,MATCH(F18,B17:B24),,2),F18),2),F18&gt;B24,C24),"请输入流量"))</f>
        <v>1.58</v>
      </c>
      <c r="G19" s="191"/>
      <c r="H19" s="191"/>
      <c r="I19" s="191"/>
      <c r="J19" s="191"/>
      <c r="K19" s="191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</row>
    <row r="20" spans="1:22" ht="16">
      <c r="A20" s="602"/>
      <c r="B20" s="198">
        <v>70</v>
      </c>
      <c r="C20" s="198">
        <v>2</v>
      </c>
      <c r="D20" s="190"/>
      <c r="E20" s="190"/>
      <c r="F20" s="191"/>
      <c r="G20" s="191"/>
      <c r="H20" s="191"/>
      <c r="I20" s="191"/>
      <c r="J20" s="191"/>
      <c r="K20" s="191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</row>
    <row r="21" spans="1:22" ht="16">
      <c r="A21" s="602"/>
      <c r="B21" s="198">
        <v>100</v>
      </c>
      <c r="C21" s="198">
        <v>1.9</v>
      </c>
      <c r="D21" s="190"/>
      <c r="E21" s="190"/>
      <c r="F21" s="191"/>
      <c r="G21" s="191"/>
      <c r="H21" s="191"/>
      <c r="I21" s="191"/>
      <c r="J21" s="191"/>
      <c r="K21" s="191"/>
      <c r="L21" s="190" t="s">
        <v>302</v>
      </c>
      <c r="M21" s="190"/>
      <c r="N21" s="190"/>
      <c r="O21" s="190"/>
      <c r="P21" s="190"/>
      <c r="Q21" s="190"/>
      <c r="R21" s="190"/>
      <c r="S21" s="190"/>
      <c r="T21" s="190"/>
      <c r="U21" s="190"/>
      <c r="V21" s="190"/>
    </row>
    <row r="22" spans="1:22" ht="16">
      <c r="A22" s="602"/>
      <c r="B22" s="198">
        <v>200</v>
      </c>
      <c r="C22" s="198">
        <v>1.8</v>
      </c>
      <c r="D22" s="190"/>
      <c r="E22" s="190"/>
      <c r="F22" s="191"/>
      <c r="G22" s="191"/>
      <c r="H22" s="191"/>
      <c r="I22" s="191"/>
      <c r="J22" s="191" t="s">
        <v>303</v>
      </c>
      <c r="K22" s="191"/>
      <c r="L22" s="190" t="s">
        <v>304</v>
      </c>
      <c r="M22" s="190"/>
      <c r="N22" s="190"/>
      <c r="O22" s="190"/>
      <c r="P22" s="190"/>
      <c r="Q22" s="190"/>
      <c r="R22" s="190"/>
      <c r="S22" s="190"/>
      <c r="T22" s="190"/>
      <c r="U22" s="190"/>
      <c r="V22" s="190"/>
    </row>
    <row r="23" spans="1:22" ht="16">
      <c r="A23" s="602"/>
      <c r="B23" s="198">
        <v>500</v>
      </c>
      <c r="C23" s="198">
        <v>1.6</v>
      </c>
      <c r="D23" s="190"/>
      <c r="E23" s="190"/>
      <c r="F23" s="191"/>
      <c r="G23" s="191"/>
      <c r="H23" s="191"/>
      <c r="I23" s="191"/>
      <c r="J23" s="191"/>
      <c r="K23" s="191"/>
      <c r="L23" s="190" t="s">
        <v>305</v>
      </c>
      <c r="M23" s="190"/>
      <c r="N23" s="190"/>
      <c r="O23" s="190"/>
      <c r="P23" s="190"/>
      <c r="Q23" s="190"/>
      <c r="R23" s="190"/>
      <c r="S23" s="190"/>
      <c r="T23" s="190"/>
      <c r="U23" s="190"/>
      <c r="V23" s="190"/>
    </row>
    <row r="24" spans="1:22" ht="16">
      <c r="A24" s="602"/>
      <c r="B24" s="198">
        <v>1000</v>
      </c>
      <c r="C24" s="198">
        <v>1.5</v>
      </c>
      <c r="D24" s="190"/>
      <c r="E24" s="190"/>
      <c r="F24" s="191"/>
      <c r="G24" s="191"/>
      <c r="H24" s="191"/>
      <c r="I24" s="191"/>
      <c r="J24" s="191"/>
      <c r="K24" s="191"/>
      <c r="L24" s="190" t="s">
        <v>306</v>
      </c>
      <c r="M24" s="190"/>
      <c r="N24" s="190"/>
      <c r="O24" s="190"/>
      <c r="P24" s="190"/>
      <c r="Q24" s="190"/>
      <c r="R24" s="190"/>
      <c r="S24" s="190"/>
      <c r="T24" s="190"/>
      <c r="U24" s="190"/>
      <c r="V24" s="190"/>
    </row>
    <row r="25" spans="1:22" ht="16">
      <c r="J25" s="191"/>
      <c r="L25" s="190" t="s">
        <v>307</v>
      </c>
      <c r="M25" s="190"/>
    </row>
    <row r="26" spans="1:22" ht="16">
      <c r="J26" s="191"/>
      <c r="L26" s="190" t="s">
        <v>308</v>
      </c>
      <c r="M26" s="190"/>
    </row>
    <row r="27" spans="1:22" ht="16">
      <c r="J27" s="191"/>
      <c r="L27" s="190"/>
      <c r="M27" s="190"/>
    </row>
    <row r="28" spans="1:22" ht="16">
      <c r="J28" s="191" t="s">
        <v>309</v>
      </c>
      <c r="L28" s="190" t="s">
        <v>310</v>
      </c>
      <c r="M28" s="190"/>
    </row>
    <row r="29" spans="1:22" ht="18" customHeight="1">
      <c r="L29" s="610" t="s">
        <v>311</v>
      </c>
      <c r="M29" s="611"/>
      <c r="N29" s="611"/>
      <c r="O29" s="202" t="s">
        <v>312</v>
      </c>
      <c r="P29" s="201">
        <f>MATCH(F7,B6:B13)</f>
        <v>7</v>
      </c>
      <c r="Q29" s="203"/>
      <c r="R29" s="203"/>
    </row>
    <row r="30" spans="1:22" ht="21.75" customHeight="1">
      <c r="L30" s="204" t="s">
        <v>313</v>
      </c>
      <c r="M30" s="205"/>
      <c r="N30" s="91"/>
      <c r="O30" s="205"/>
      <c r="P30" s="205"/>
      <c r="Q30" s="205"/>
      <c r="S30" s="206" t="s">
        <v>314</v>
      </c>
      <c r="V30" s="206">
        <f t="array" ref="V30">TREND($C$10:$C$11,$B$10:$B$11,$F$7)</f>
        <v>1.1212962962962958</v>
      </c>
    </row>
    <row r="31" spans="1:22" ht="16">
      <c r="N31" s="207" t="s">
        <v>315</v>
      </c>
    </row>
    <row r="32" spans="1:22" ht="16">
      <c r="N32" s="207" t="s">
        <v>316</v>
      </c>
    </row>
    <row r="33" spans="12:22" ht="16">
      <c r="V33" s="190"/>
    </row>
    <row r="34" spans="12:22" ht="16">
      <c r="L34" s="190" t="s">
        <v>317</v>
      </c>
      <c r="M34" s="190"/>
      <c r="N34" s="190" t="s">
        <v>318</v>
      </c>
      <c r="O34" s="190"/>
      <c r="P34" s="190"/>
      <c r="Q34" s="190"/>
      <c r="R34" s="190"/>
      <c r="S34" s="190"/>
      <c r="T34" s="190"/>
      <c r="U34" s="190"/>
      <c r="V34" s="190"/>
    </row>
    <row r="35" spans="12:22" ht="16">
      <c r="L35" s="190"/>
      <c r="M35" s="190"/>
      <c r="N35" s="190" t="s">
        <v>319</v>
      </c>
      <c r="O35" s="190"/>
      <c r="P35" s="190"/>
      <c r="Q35" s="190"/>
      <c r="R35" s="190"/>
      <c r="S35" s="190"/>
      <c r="T35" s="190"/>
      <c r="U35" s="190"/>
      <c r="V35" s="190"/>
    </row>
    <row r="36" spans="12:22" ht="16">
      <c r="L36" s="190"/>
      <c r="M36" s="190"/>
      <c r="N36" s="190" t="s">
        <v>320</v>
      </c>
      <c r="O36" s="190"/>
      <c r="P36" s="190"/>
      <c r="Q36" s="190"/>
      <c r="R36" s="190"/>
      <c r="S36" s="190"/>
      <c r="T36" s="190"/>
      <c r="U36" s="190"/>
      <c r="V36" s="190"/>
    </row>
    <row r="37" spans="12:22" ht="16">
      <c r="L37" s="190"/>
      <c r="M37" s="190"/>
      <c r="N37" s="190" t="s">
        <v>321</v>
      </c>
      <c r="O37" s="190"/>
      <c r="P37" s="190"/>
      <c r="Q37" s="190"/>
      <c r="R37" s="190"/>
      <c r="S37" s="190"/>
      <c r="T37" s="190"/>
      <c r="U37" s="190"/>
      <c r="V37" s="190"/>
    </row>
    <row r="38" spans="12:22" ht="16">
      <c r="L38" s="190"/>
      <c r="M38" s="190"/>
      <c r="N38" s="190" t="s">
        <v>322</v>
      </c>
      <c r="O38" s="190"/>
      <c r="P38" s="190"/>
      <c r="Q38" s="190"/>
      <c r="R38" s="190"/>
      <c r="S38" s="190"/>
      <c r="T38" s="190"/>
      <c r="U38" s="190"/>
      <c r="V38" s="190"/>
    </row>
    <row r="39" spans="12:22" ht="16">
      <c r="L39" s="190"/>
      <c r="M39" s="190"/>
      <c r="N39" s="190" t="s">
        <v>323</v>
      </c>
      <c r="O39" s="190"/>
      <c r="P39" s="190"/>
      <c r="Q39" s="190"/>
      <c r="R39" s="190"/>
      <c r="S39" s="190"/>
      <c r="T39" s="190"/>
      <c r="U39" s="190"/>
      <c r="V39" s="190"/>
    </row>
    <row r="40" spans="12:22" ht="16">
      <c r="L40" s="190"/>
      <c r="M40" s="190" t="s">
        <v>324</v>
      </c>
      <c r="N40" s="190"/>
      <c r="O40" s="190"/>
      <c r="P40" s="190"/>
      <c r="Q40" s="190"/>
      <c r="R40" s="190"/>
      <c r="S40" s="190"/>
      <c r="T40" s="190"/>
      <c r="U40" s="190"/>
      <c r="V40" s="190"/>
    </row>
    <row r="41" spans="12:22" ht="16">
      <c r="M41" s="190"/>
      <c r="N41" s="190"/>
      <c r="O41" s="190"/>
      <c r="P41" s="190"/>
      <c r="Q41" s="190"/>
      <c r="R41" s="190"/>
      <c r="S41" s="190"/>
      <c r="T41" s="190"/>
      <c r="U41" s="190"/>
      <c r="V41" s="190"/>
    </row>
    <row r="42" spans="12:22" ht="16">
      <c r="L42" s="190"/>
      <c r="M42" s="208" t="s">
        <v>325</v>
      </c>
      <c r="O42" s="190"/>
      <c r="P42" s="190"/>
      <c r="Q42" s="190">
        <f t="array" aca="1" ref="Q42:Q43" ca="1">OFFSET(C5,MATCH(F7,B6:B13),,2)</f>
        <v>1.4</v>
      </c>
      <c r="R42" s="190"/>
      <c r="T42" s="190"/>
      <c r="U42" s="190"/>
      <c r="V42" s="190"/>
    </row>
    <row r="43" spans="12:22" ht="16">
      <c r="L43" s="190"/>
      <c r="M43" s="190"/>
      <c r="N43" s="190"/>
      <c r="O43" s="190"/>
      <c r="P43" s="190"/>
      <c r="Q43" s="190">
        <f ca="1"/>
        <v>1.3</v>
      </c>
      <c r="R43" s="190"/>
      <c r="S43" s="190"/>
      <c r="T43" s="190"/>
      <c r="U43" s="190"/>
    </row>
    <row r="53" spans="9:23" ht="16">
      <c r="P53" s="190">
        <v>100</v>
      </c>
      <c r="Q53" s="190">
        <v>1.6</v>
      </c>
    </row>
    <row r="54" spans="9:23" ht="16">
      <c r="P54" s="190">
        <f>$M$60</f>
        <v>115.74074074074075</v>
      </c>
      <c r="Q54" s="206" t="s">
        <v>326</v>
      </c>
    </row>
    <row r="55" spans="9:23" ht="16">
      <c r="I55" s="191" t="s">
        <v>327</v>
      </c>
      <c r="P55" s="190">
        <v>200</v>
      </c>
      <c r="Q55" s="190">
        <v>1.5</v>
      </c>
    </row>
    <row r="57" spans="9:23" ht="57">
      <c r="I57" s="612" t="s">
        <v>294</v>
      </c>
      <c r="J57" s="209" t="s">
        <v>328</v>
      </c>
      <c r="K57" s="209" t="s">
        <v>329</v>
      </c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</row>
    <row r="58" spans="9:23" ht="16">
      <c r="I58" s="612"/>
      <c r="J58" s="210">
        <v>5</v>
      </c>
      <c r="K58" s="210">
        <v>2.2999999999999998</v>
      </c>
      <c r="M58" s="190"/>
      <c r="N58" s="190"/>
      <c r="R58" s="190"/>
      <c r="S58" s="190">
        <f>P55-P54</f>
        <v>84.259259259259252</v>
      </c>
      <c r="T58" s="211" t="s">
        <v>330</v>
      </c>
      <c r="U58" s="190"/>
      <c r="V58" s="190"/>
      <c r="W58" s="190"/>
    </row>
    <row r="59" spans="9:23" ht="16">
      <c r="I59" s="612"/>
      <c r="J59" s="210">
        <v>15</v>
      </c>
      <c r="K59" s="210">
        <v>2</v>
      </c>
      <c r="M59" s="190">
        <v>10000</v>
      </c>
      <c r="N59" s="190"/>
      <c r="R59" s="190"/>
      <c r="S59" s="190">
        <f>P54-P53</f>
        <v>15.740740740740748</v>
      </c>
      <c r="T59" s="211" t="s">
        <v>331</v>
      </c>
      <c r="U59" s="190"/>
      <c r="V59" s="190"/>
    </row>
    <row r="60" spans="9:23" ht="16">
      <c r="I60" s="612"/>
      <c r="J60" s="210">
        <v>40</v>
      </c>
      <c r="K60" s="210">
        <v>1.8</v>
      </c>
      <c r="M60" s="190">
        <f>M59*1000/24/3600</f>
        <v>115.74074074074075</v>
      </c>
      <c r="N60" s="190"/>
      <c r="R60" s="190"/>
      <c r="U60" s="190"/>
      <c r="V60" s="190"/>
    </row>
    <row r="61" spans="9:23" ht="16">
      <c r="I61" s="612"/>
      <c r="J61" s="210">
        <v>70</v>
      </c>
      <c r="K61" s="210">
        <v>1.7</v>
      </c>
      <c r="M61" s="190"/>
      <c r="N61" s="190"/>
      <c r="R61" s="190"/>
      <c r="S61" s="190"/>
      <c r="T61" s="190"/>
      <c r="U61" s="190"/>
      <c r="V61" s="190"/>
    </row>
    <row r="62" spans="9:23" ht="16">
      <c r="I62" s="612"/>
      <c r="J62" s="210">
        <v>100</v>
      </c>
      <c r="K62" s="210">
        <v>1.6</v>
      </c>
      <c r="M62" s="190"/>
      <c r="N62" s="190"/>
      <c r="R62" s="190" t="s">
        <v>332</v>
      </c>
      <c r="S62" s="190"/>
      <c r="T62" s="190"/>
      <c r="U62" s="190"/>
      <c r="V62" s="190"/>
      <c r="W62" s="190"/>
    </row>
    <row r="63" spans="9:23" ht="16">
      <c r="I63" s="612"/>
      <c r="J63" s="210">
        <v>200</v>
      </c>
      <c r="K63" s="210">
        <v>1.5</v>
      </c>
      <c r="M63" s="190"/>
      <c r="N63" s="190"/>
      <c r="R63" s="190"/>
      <c r="S63" s="190"/>
      <c r="T63" s="190"/>
      <c r="U63" s="190"/>
      <c r="V63" s="190"/>
      <c r="W63" s="190"/>
    </row>
    <row r="64" spans="9:23" ht="16">
      <c r="I64" s="612"/>
      <c r="J64" s="210">
        <v>500</v>
      </c>
      <c r="K64" s="210">
        <v>1.4</v>
      </c>
      <c r="M64" s="190">
        <f t="array" ref="M64">TREND(K58:K65,J58:J65,M60)</f>
        <v>1.7878122769155746</v>
      </c>
      <c r="N64" s="190"/>
      <c r="R64" s="190" t="str">
        <f>84.25926+15.74074&amp;Q54</f>
        <v>100x</v>
      </c>
      <c r="S64" s="190">
        <f>84.25926*1.6+1.5*15.74074</f>
        <v>158.425926</v>
      </c>
      <c r="T64" s="190"/>
      <c r="U64" s="190"/>
      <c r="V64" s="190"/>
      <c r="W64" s="190"/>
    </row>
    <row r="65" spans="9:23" ht="16">
      <c r="I65" s="612"/>
      <c r="J65" s="210">
        <v>1000</v>
      </c>
      <c r="K65" s="210">
        <v>1.3</v>
      </c>
      <c r="M65" s="190"/>
      <c r="N65" s="190"/>
      <c r="R65" s="190"/>
      <c r="S65" s="190">
        <f>S64/LEFT(R64,3)</f>
        <v>1.5842592600000001</v>
      </c>
      <c r="T65" s="190" t="s">
        <v>333</v>
      </c>
      <c r="U65" s="190"/>
      <c r="V65" s="190"/>
      <c r="W65" s="190"/>
    </row>
    <row r="66" spans="9:23" ht="16">
      <c r="I66"/>
      <c r="J66"/>
      <c r="K66"/>
      <c r="M66" s="190"/>
      <c r="N66" s="190"/>
      <c r="O66" s="190"/>
      <c r="P66" s="190"/>
      <c r="Q66" s="190"/>
      <c r="R66" s="190"/>
      <c r="S66" s="190"/>
      <c r="T66" s="190"/>
      <c r="U66" s="190"/>
      <c r="V66" s="190"/>
      <c r="W66" s="190"/>
    </row>
    <row r="67" spans="9:23" ht="16">
      <c r="I67"/>
      <c r="J67"/>
      <c r="K67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</row>
    <row r="68" spans="9:23" ht="16">
      <c r="I68"/>
      <c r="J68"/>
      <c r="K68"/>
      <c r="M68" s="190"/>
      <c r="N68" s="190"/>
      <c r="T68" s="190"/>
      <c r="U68" s="190"/>
      <c r="V68" s="190"/>
      <c r="W68" s="190"/>
    </row>
    <row r="69" spans="9:23" ht="16">
      <c r="I69"/>
      <c r="J69"/>
      <c r="K69"/>
      <c r="M69" s="190"/>
      <c r="N69" s="190"/>
      <c r="T69" s="190"/>
      <c r="U69" s="190"/>
      <c r="V69" s="190"/>
      <c r="W69" s="190"/>
    </row>
    <row r="70" spans="9:23" ht="16">
      <c r="I70"/>
      <c r="J70"/>
      <c r="K70"/>
      <c r="M70" s="190"/>
      <c r="N70" s="190"/>
      <c r="T70" s="190"/>
      <c r="U70" s="190"/>
      <c r="V70" s="190"/>
      <c r="W70" s="190"/>
    </row>
    <row r="71" spans="9:23" ht="16">
      <c r="I71"/>
      <c r="J71"/>
      <c r="K71"/>
      <c r="M71" s="190"/>
      <c r="N71" s="190"/>
      <c r="T71" s="190"/>
      <c r="U71" s="190"/>
      <c r="V71" s="190"/>
      <c r="W71" s="190"/>
    </row>
    <row r="72" spans="9:23" ht="16">
      <c r="I72"/>
      <c r="J72"/>
      <c r="K72"/>
      <c r="M72" s="190"/>
      <c r="N72" s="190"/>
      <c r="T72" s="190"/>
      <c r="U72" s="190"/>
      <c r="V72" s="190"/>
      <c r="W72" s="190"/>
    </row>
    <row r="73" spans="9:23" ht="16">
      <c r="I73"/>
      <c r="J73"/>
      <c r="K73"/>
      <c r="M73" s="190"/>
      <c r="N73" s="190"/>
      <c r="T73" s="190"/>
      <c r="U73" s="190"/>
      <c r="V73" s="190"/>
      <c r="W73" s="190"/>
    </row>
    <row r="74" spans="9:23" ht="16">
      <c r="I74"/>
      <c r="J74"/>
      <c r="K74"/>
      <c r="M74" s="190"/>
      <c r="N74" s="190"/>
      <c r="T74" s="190"/>
      <c r="U74" s="190"/>
      <c r="V74" s="190"/>
      <c r="W74" s="190"/>
    </row>
    <row r="75" spans="9:23" ht="16">
      <c r="I75"/>
      <c r="J75"/>
      <c r="K75"/>
      <c r="M75" s="190"/>
      <c r="N75" s="190"/>
      <c r="T75" s="190"/>
      <c r="U75" s="190"/>
      <c r="V75" s="190"/>
      <c r="W75" s="190"/>
    </row>
  </sheetData>
  <mergeCells count="6">
    <mergeCell ref="L29:N29"/>
    <mergeCell ref="I57:I65"/>
    <mergeCell ref="A5:A13"/>
    <mergeCell ref="J5:R5"/>
    <mergeCell ref="A16:A24"/>
    <mergeCell ref="J16:R16"/>
  </mergeCells>
  <phoneticPr fontId="1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M30"/>
  <sheetViews>
    <sheetView workbookViewId="0">
      <selection activeCell="K21" sqref="K21"/>
    </sheetView>
  </sheetViews>
  <sheetFormatPr baseColWidth="10" defaultColWidth="8.1640625" defaultRowHeight="15"/>
  <cols>
    <col min="1" max="1" width="9.6640625" customWidth="1"/>
    <col min="2" max="3" width="12.6640625" customWidth="1"/>
    <col min="4" max="4" width="11.6640625" customWidth="1"/>
    <col min="5" max="5" width="11.1640625" customWidth="1"/>
    <col min="6" max="6" width="15.6640625" customWidth="1"/>
    <col min="7" max="7" width="26.6640625" customWidth="1"/>
  </cols>
  <sheetData>
    <row r="1" spans="1:7" s="1" customFormat="1" ht="27.75" customHeight="1">
      <c r="A1" s="614" t="s">
        <v>45</v>
      </c>
      <c r="B1" s="615"/>
      <c r="C1" s="615"/>
      <c r="D1" s="615"/>
      <c r="E1" s="615"/>
      <c r="F1" s="615"/>
      <c r="G1" s="616"/>
    </row>
    <row r="2" spans="1:7" s="1" customFormat="1">
      <c r="A2" s="2" t="s">
        <v>46</v>
      </c>
      <c r="B2" s="617" t="s">
        <v>47</v>
      </c>
      <c r="C2" s="617"/>
      <c r="D2" s="617"/>
      <c r="E2" s="3" t="s">
        <v>2</v>
      </c>
      <c r="F2" s="3" t="s">
        <v>48</v>
      </c>
      <c r="G2" s="4" t="s">
        <v>3</v>
      </c>
    </row>
    <row r="3" spans="1:7" s="1" customFormat="1">
      <c r="A3" s="2">
        <v>1</v>
      </c>
      <c r="B3" s="3" t="s">
        <v>49</v>
      </c>
      <c r="C3" s="3" t="s">
        <v>50</v>
      </c>
      <c r="D3" s="5">
        <v>0.6</v>
      </c>
      <c r="E3" s="3" t="s">
        <v>27</v>
      </c>
      <c r="F3" s="3"/>
      <c r="G3" s="4"/>
    </row>
    <row r="4" spans="1:7" s="1" customFormat="1">
      <c r="A4" s="2"/>
      <c r="B4" s="3"/>
      <c r="C4" s="3" t="s">
        <v>51</v>
      </c>
      <c r="D4" s="6">
        <f>D3/2</f>
        <v>0.3</v>
      </c>
      <c r="E4" s="3" t="s">
        <v>27</v>
      </c>
      <c r="F4" s="3"/>
      <c r="G4" s="4"/>
    </row>
    <row r="5" spans="1:7" s="1" customFormat="1">
      <c r="A5" s="2">
        <v>2</v>
      </c>
      <c r="B5" s="3" t="s">
        <v>52</v>
      </c>
      <c r="C5" s="3" t="s">
        <v>53</v>
      </c>
      <c r="D5" s="5">
        <v>1E-3</v>
      </c>
      <c r="E5" s="3"/>
      <c r="F5" s="3"/>
      <c r="G5" s="4"/>
    </row>
    <row r="6" spans="1:7" s="1" customFormat="1">
      <c r="A6" s="2">
        <v>3</v>
      </c>
      <c r="B6" s="3" t="s">
        <v>54</v>
      </c>
      <c r="C6" s="3" t="s">
        <v>21</v>
      </c>
      <c r="D6" s="3">
        <v>1.2999999999999999E-2</v>
      </c>
      <c r="E6" s="3"/>
      <c r="F6" s="3"/>
      <c r="G6" s="4"/>
    </row>
    <row r="7" spans="1:7" s="1" customFormat="1">
      <c r="A7" s="2">
        <v>4</v>
      </c>
      <c r="B7" s="3" t="s">
        <v>55</v>
      </c>
      <c r="C7" s="3" t="s">
        <v>56</v>
      </c>
      <c r="D7" s="5">
        <v>0.7</v>
      </c>
      <c r="E7" s="3"/>
      <c r="F7" s="3"/>
      <c r="G7" s="4"/>
    </row>
    <row r="8" spans="1:7" s="1" customFormat="1">
      <c r="A8" s="2">
        <v>6</v>
      </c>
      <c r="B8" s="3" t="s">
        <v>57</v>
      </c>
      <c r="C8" s="3" t="s">
        <v>58</v>
      </c>
      <c r="D8" s="3">
        <f>(D3*D7-D3/2)/(D3/2)</f>
        <v>0.4</v>
      </c>
      <c r="E8" s="3"/>
      <c r="F8" s="3"/>
      <c r="G8" s="4"/>
    </row>
    <row r="9" spans="1:7" s="1" customFormat="1">
      <c r="A9" s="2">
        <v>7</v>
      </c>
      <c r="B9" s="3" t="s">
        <v>59</v>
      </c>
      <c r="C9" s="3" t="s">
        <v>60</v>
      </c>
      <c r="D9" s="3">
        <f>(1-D8^2)^0.5</f>
        <v>0.91651513899116799</v>
      </c>
      <c r="E9" s="3"/>
      <c r="F9" s="3"/>
      <c r="G9" s="4"/>
    </row>
    <row r="10" spans="1:7" s="1" customFormat="1">
      <c r="A10" s="2">
        <v>8</v>
      </c>
      <c r="B10" s="3" t="s">
        <v>61</v>
      </c>
      <c r="C10" s="7" t="s">
        <v>62</v>
      </c>
      <c r="D10" s="3">
        <f>ACOS(D8)</f>
        <v>1.1592794807274085</v>
      </c>
      <c r="E10" s="3" t="s">
        <v>63</v>
      </c>
      <c r="F10" s="3"/>
      <c r="G10" s="4"/>
    </row>
    <row r="11" spans="1:7" s="1" customFormat="1">
      <c r="A11" s="2">
        <v>9</v>
      </c>
      <c r="B11" s="3" t="s">
        <v>64</v>
      </c>
      <c r="C11" s="7" t="s">
        <v>65</v>
      </c>
      <c r="D11" s="3">
        <f>D10*2</f>
        <v>2.318558961454817</v>
      </c>
      <c r="E11" s="3" t="s">
        <v>63</v>
      </c>
      <c r="F11" s="3"/>
      <c r="G11" s="4"/>
    </row>
    <row r="12" spans="1:7" s="1" customFormat="1">
      <c r="A12" s="2">
        <v>10</v>
      </c>
      <c r="B12" s="3" t="s">
        <v>66</v>
      </c>
      <c r="C12" s="3" t="s">
        <v>67</v>
      </c>
      <c r="D12" s="3">
        <f>2*3.14-D11</f>
        <v>3.9614410385451833</v>
      </c>
      <c r="E12" s="3" t="s">
        <v>63</v>
      </c>
      <c r="F12" s="3"/>
      <c r="G12" s="4"/>
    </row>
    <row r="13" spans="1:7" s="1" customFormat="1">
      <c r="A13" s="2">
        <v>11</v>
      </c>
      <c r="B13" s="3" t="s">
        <v>68</v>
      </c>
      <c r="C13" s="3" t="s">
        <v>69</v>
      </c>
      <c r="D13" s="3">
        <f>D4*D12</f>
        <v>1.1884323115635549</v>
      </c>
      <c r="E13" s="3" t="s">
        <v>27</v>
      </c>
      <c r="F13" s="3"/>
      <c r="G13" s="4"/>
    </row>
    <row r="14" spans="1:7" s="1" customFormat="1" ht="16">
      <c r="A14" s="2">
        <v>12</v>
      </c>
      <c r="B14" s="3" t="s">
        <v>70</v>
      </c>
      <c r="C14" s="3" t="s">
        <v>71</v>
      </c>
      <c r="D14" s="3">
        <f>D4^2*D8*D9+D12/2/3.14*0.785*D3^2</f>
        <v>0.21125939173821526</v>
      </c>
      <c r="E14" s="3" t="s">
        <v>72</v>
      </c>
      <c r="F14" s="3"/>
      <c r="G14" s="4"/>
    </row>
    <row r="15" spans="1:7" s="1" customFormat="1">
      <c r="A15" s="2">
        <v>13</v>
      </c>
      <c r="B15" s="3" t="s">
        <v>73</v>
      </c>
      <c r="C15" s="3" t="s">
        <v>74</v>
      </c>
      <c r="D15" s="3">
        <f>D14/D13</f>
        <v>0.17776308308234479</v>
      </c>
      <c r="E15" s="3" t="s">
        <v>27</v>
      </c>
      <c r="F15" s="3" t="s">
        <v>75</v>
      </c>
      <c r="G15" s="4" t="s">
        <v>76</v>
      </c>
    </row>
    <row r="16" spans="1:7" s="1" customFormat="1" ht="45" customHeight="1">
      <c r="A16" s="2">
        <v>14</v>
      </c>
      <c r="B16" s="3" t="s">
        <v>77</v>
      </c>
      <c r="C16" s="3" t="s">
        <v>78</v>
      </c>
      <c r="D16" s="3">
        <f>1/D6*D15^0.67*D5^0.5</f>
        <v>0.76462853663274843</v>
      </c>
      <c r="E16" s="3" t="s">
        <v>79</v>
      </c>
      <c r="F16" s="3"/>
      <c r="G16" s="8" t="s">
        <v>80</v>
      </c>
    </row>
    <row r="17" spans="1:13" s="1" customFormat="1">
      <c r="A17" s="2">
        <v>15</v>
      </c>
      <c r="B17" s="3" t="s">
        <v>81</v>
      </c>
      <c r="C17" s="3" t="s">
        <v>82</v>
      </c>
      <c r="D17" s="3">
        <f>D16*D14</f>
        <v>0.16153495955471608</v>
      </c>
      <c r="E17" s="3" t="s">
        <v>83</v>
      </c>
      <c r="F17" s="3" t="s">
        <v>84</v>
      </c>
      <c r="G17" s="4"/>
    </row>
    <row r="18" spans="1:13" s="1" customFormat="1" ht="16">
      <c r="A18" s="2">
        <v>16</v>
      </c>
      <c r="B18" s="3"/>
      <c r="C18" s="3"/>
      <c r="D18" s="3">
        <f>D17*3600*24</f>
        <v>13956.62050552747</v>
      </c>
      <c r="E18" s="3" t="s">
        <v>85</v>
      </c>
      <c r="F18" s="3">
        <f>D18/24</f>
        <v>581.52585439697793</v>
      </c>
      <c r="G18" s="4"/>
    </row>
    <row r="19" spans="1:13" s="1" customFormat="1" ht="16">
      <c r="A19" s="2"/>
      <c r="B19" s="3"/>
      <c r="C19" s="3"/>
      <c r="D19" s="9">
        <f>D18/24</f>
        <v>581.52585439697793</v>
      </c>
      <c r="E19" s="10" t="s">
        <v>86</v>
      </c>
      <c r="F19" s="3"/>
      <c r="G19" s="4"/>
    </row>
    <row r="20" spans="1:13" s="1" customFormat="1">
      <c r="A20" s="2">
        <v>17</v>
      </c>
      <c r="B20" s="11" t="s">
        <v>87</v>
      </c>
      <c r="C20" s="11" t="s">
        <v>88</v>
      </c>
      <c r="D20" s="3"/>
      <c r="E20" s="11"/>
      <c r="F20" s="12"/>
      <c r="G20" s="4"/>
    </row>
    <row r="21" spans="1:13" s="1" customFormat="1">
      <c r="A21" s="2">
        <v>18</v>
      </c>
      <c r="B21" s="11" t="s">
        <v>89</v>
      </c>
      <c r="C21" s="13">
        <v>0.55000000000000004</v>
      </c>
      <c r="D21" s="3"/>
      <c r="E21" s="13"/>
      <c r="F21" s="12"/>
      <c r="G21" s="4"/>
    </row>
    <row r="22" spans="1:13">
      <c r="A22" s="2">
        <v>19</v>
      </c>
      <c r="B22" s="11" t="s">
        <v>90</v>
      </c>
      <c r="C22" s="13">
        <v>0.65</v>
      </c>
      <c r="D22" s="14"/>
      <c r="E22" s="13"/>
      <c r="F22" s="12"/>
      <c r="G22" s="15"/>
      <c r="H22" s="1"/>
      <c r="I22" s="1"/>
      <c r="J22" s="1"/>
      <c r="K22" s="1"/>
      <c r="L22" s="1"/>
      <c r="M22" s="1"/>
    </row>
    <row r="23" spans="1:13">
      <c r="A23" s="2">
        <v>20</v>
      </c>
      <c r="B23" s="11" t="s">
        <v>91</v>
      </c>
      <c r="C23" s="13">
        <v>0.7</v>
      </c>
      <c r="D23" s="14"/>
      <c r="E23" s="13"/>
      <c r="F23" s="12"/>
      <c r="G23" s="15"/>
      <c r="H23" s="1"/>
      <c r="I23" s="1"/>
      <c r="J23" s="1"/>
      <c r="K23" s="1"/>
      <c r="L23" s="1"/>
      <c r="M23" s="1"/>
    </row>
    <row r="24" spans="1:13">
      <c r="A24" s="16">
        <v>21</v>
      </c>
      <c r="B24" s="17" t="s">
        <v>92</v>
      </c>
      <c r="C24" s="18">
        <v>0.75</v>
      </c>
      <c r="D24" s="19"/>
      <c r="E24" s="18"/>
      <c r="F24" s="20"/>
      <c r="G24" s="21"/>
      <c r="H24" s="1"/>
      <c r="I24" s="1"/>
      <c r="J24" s="1"/>
      <c r="K24" s="1"/>
      <c r="L24" s="1"/>
      <c r="M24" s="1"/>
    </row>
    <row r="25" spans="1:13">
      <c r="B25" s="22"/>
      <c r="C25" s="22"/>
      <c r="D25" s="22"/>
      <c r="E25" s="22"/>
      <c r="F25" s="22"/>
      <c r="G25" s="22"/>
    </row>
    <row r="27" spans="1:13" ht="12" customHeight="1"/>
    <row r="30" spans="1:13">
      <c r="J30">
        <f>4.3*K23</f>
        <v>0</v>
      </c>
    </row>
  </sheetData>
  <mergeCells count="2">
    <mergeCell ref="A1:G1"/>
    <mergeCell ref="B2:D2"/>
  </mergeCells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173</vt:i4>
      </vt:variant>
    </vt:vector>
  </HeadingPairs>
  <TitlesOfParts>
    <vt:vector size="193" baseType="lpstr">
      <vt:lpstr>数学建模</vt:lpstr>
      <vt:lpstr>辅助-模块单元解耦</vt:lpstr>
      <vt:lpstr>辅助-型号</vt:lpstr>
      <vt:lpstr>辅助-输出功率</vt:lpstr>
      <vt:lpstr>辅助-内插法总变化系数</vt:lpstr>
      <vt:lpstr>辅助-碳钢钢管管径壁厚</vt:lpstr>
      <vt:lpstr>辅助-不锈钢管（曝气）管径壁厚</vt:lpstr>
      <vt:lpstr>辅助-A~G数值</vt:lpstr>
      <vt:lpstr>输入&amp;输出</vt:lpstr>
      <vt:lpstr>设备、材料清单</vt:lpstr>
      <vt:lpstr>结构清单</vt:lpstr>
      <vt:lpstr>电仪控清单</vt:lpstr>
      <vt:lpstr>液位控制说明</vt:lpstr>
      <vt:lpstr>基础数据1</vt:lpstr>
      <vt:lpstr>Sheet2</vt:lpstr>
      <vt:lpstr>管道流速</vt:lpstr>
      <vt:lpstr>Sheet1</vt:lpstr>
      <vt:lpstr>计算层</vt:lpstr>
      <vt:lpstr>变化系数</vt:lpstr>
      <vt:lpstr>进水管计算</vt:lpstr>
      <vt:lpstr>壁厚</vt:lpstr>
      <vt:lpstr>不锈钢曝气支管单位长度</vt:lpstr>
      <vt:lpstr>超高h1</vt:lpstr>
      <vt:lpstr>承压水头</vt:lpstr>
      <vt:lpstr>池总高h5</vt:lpstr>
      <vt:lpstr>池总宽</vt:lpstr>
      <vt:lpstr>出水侧长边方向泥斗水平投影尺寸S</vt:lpstr>
      <vt:lpstr>出水管管底与池底高差h17</vt:lpstr>
      <vt:lpstr>出水渠长</vt:lpstr>
      <vt:lpstr>出水堰堰后跌水高度h13</vt:lpstr>
      <vt:lpstr>出水堰堰上水头h12</vt:lpstr>
      <vt:lpstr>穿孔管长</vt:lpstr>
      <vt:lpstr>传动装置效率</vt:lpstr>
      <vt:lpstr>单池容积</vt:lpstr>
      <vt:lpstr>单台风机需要风量</vt:lpstr>
      <vt:lpstr>单延米曝气量</vt:lpstr>
      <vt:lpstr>单组供气量</vt:lpstr>
      <vt:lpstr>单组总宽度C</vt:lpstr>
      <vt:lpstr>斗壁斜边_短边_与邻近池内壁夹角_池宽方向_α4</vt:lpstr>
      <vt:lpstr>斗壁斜边_长边_与邻近池内壁夹角_池宽方向_α3</vt:lpstr>
      <vt:lpstr>斗壁斜边与出水侧池内壁夹角_池长方向_α2</vt:lpstr>
      <vt:lpstr>斗壁斜边与进水侧池内壁夹角_池长方向_α1</vt:lpstr>
      <vt:lpstr>放空管90°弯头数量</vt:lpstr>
      <vt:lpstr>放空管管径d4</vt:lpstr>
      <vt:lpstr>放空管长度</vt:lpstr>
      <vt:lpstr>放空管中心距池体短边外侧距离I</vt:lpstr>
      <vt:lpstr>放空时间</vt:lpstr>
      <vt:lpstr>风机效率</vt:lpstr>
      <vt:lpstr>峰值流量水平流速v1</vt:lpstr>
      <vt:lpstr>峰值流量停留时间t</vt:lpstr>
      <vt:lpstr>浮渣区宽b2</vt:lpstr>
      <vt:lpstr>隔墙低于液位距离h6</vt:lpstr>
      <vt:lpstr>隔墙厚b3</vt:lpstr>
      <vt:lpstr>估算功率</vt:lpstr>
      <vt:lpstr>管路损失</vt:lpstr>
      <vt:lpstr>过水孔高</vt:lpstr>
      <vt:lpstr>过水孔宽</vt:lpstr>
      <vt:lpstr>缓冲区底宽</vt:lpstr>
      <vt:lpstr>缓冲区顶宽</vt:lpstr>
      <vt:lpstr>缓冲区高h3</vt:lpstr>
      <vt:lpstr>缓冲区截面积</vt:lpstr>
      <vt:lpstr>缓冲区体积</vt:lpstr>
      <vt:lpstr>集砂槽底宽</vt:lpstr>
      <vt:lpstr>集砂槽顶宽</vt:lpstr>
      <vt:lpstr>集砂槽高h4</vt:lpstr>
      <vt:lpstr>集砂槽截面积</vt:lpstr>
      <vt:lpstr>集砂槽容积</vt:lpstr>
      <vt:lpstr>集砂槽长</vt:lpstr>
      <vt:lpstr>集水池地面超高h3</vt:lpstr>
      <vt:lpstr>集水池工作液面距离地面深度h4</vt:lpstr>
      <vt:lpstr>集水池宽B</vt:lpstr>
      <vt:lpstr>集水池面积</vt:lpstr>
      <vt:lpstr>集水池深度H</vt:lpstr>
      <vt:lpstr>集水池停留时间</vt:lpstr>
      <vt:lpstr>集水池有效池容</vt:lpstr>
      <vt:lpstr>集水池有效水深h1</vt:lpstr>
      <vt:lpstr>集水池长L</vt:lpstr>
      <vt:lpstr>进水侧长边方向泥斗水平投影尺寸R</vt:lpstr>
      <vt:lpstr>进水闸门宽</vt:lpstr>
      <vt:lpstr>空气扩散装置浸没水深h8</vt:lpstr>
      <vt:lpstr>空气扩散装置距离池底以上高度</vt:lpstr>
      <vt:lpstr>空气扩散装置距离有效水深以下高度</vt:lpstr>
      <vt:lpstr>邻近闸门进水孔洞间水平净距M</vt:lpstr>
      <vt:lpstr>流量10000</vt:lpstr>
      <vt:lpstr>流量100000</vt:lpstr>
      <vt:lpstr>流量110000</vt:lpstr>
      <vt:lpstr>流量120000</vt:lpstr>
      <vt:lpstr>流量130000</vt:lpstr>
      <vt:lpstr>流量140000</vt:lpstr>
      <vt:lpstr>流量15000</vt:lpstr>
      <vt:lpstr>流量150000</vt:lpstr>
      <vt:lpstr>流量160000</vt:lpstr>
      <vt:lpstr>流量170000</vt:lpstr>
      <vt:lpstr>流量180000</vt:lpstr>
      <vt:lpstr>流量190000</vt:lpstr>
      <vt:lpstr>流量20000</vt:lpstr>
      <vt:lpstr>流量200000</vt:lpstr>
      <vt:lpstr>流量25000</vt:lpstr>
      <vt:lpstr>流量30000</vt:lpstr>
      <vt:lpstr>流量35000</vt:lpstr>
      <vt:lpstr>流量40000</vt:lpstr>
      <vt:lpstr>流量45000</vt:lpstr>
      <vt:lpstr>流量50000</vt:lpstr>
      <vt:lpstr>流量55000</vt:lpstr>
      <vt:lpstr>流量60000</vt:lpstr>
      <vt:lpstr>流量65000</vt:lpstr>
      <vt:lpstr>流量70000</vt:lpstr>
      <vt:lpstr>流量75000</vt:lpstr>
      <vt:lpstr>流量80000</vt:lpstr>
      <vt:lpstr>流量85000</vt:lpstr>
      <vt:lpstr>流量90000</vt:lpstr>
      <vt:lpstr>流量95000</vt:lpstr>
      <vt:lpstr>螺旋直径</vt:lpstr>
      <vt:lpstr>落砂高度</vt:lpstr>
      <vt:lpstr>门体超高</vt:lpstr>
      <vt:lpstr>门体高</vt:lpstr>
      <vt:lpstr>模块型号</vt:lpstr>
      <vt:lpstr>排砂管90°弯头数量</vt:lpstr>
      <vt:lpstr>排砂管管径d3</vt:lpstr>
      <vt:lpstr>排砂管长度</vt:lpstr>
      <vt:lpstr>排砂时间</vt:lpstr>
      <vt:lpstr>排砂周期</vt:lpstr>
      <vt:lpstr>排渣非撇渣渠顶与池内水位高差h15</vt:lpstr>
      <vt:lpstr>排渣管90°弯头数量</vt:lpstr>
      <vt:lpstr>排渣管管径d2</vt:lpstr>
      <vt:lpstr>排渣管长度</vt:lpstr>
      <vt:lpstr>排渣撇渣渠顶与池内水位高差h14</vt:lpstr>
      <vt:lpstr>排渣渠底部与池内水位高差h16</vt:lpstr>
      <vt:lpstr>平均流量水平流速v2</vt:lpstr>
      <vt:lpstr>平均日流量</vt:lpstr>
      <vt:lpstr>曝气风机备用数量</vt:lpstr>
      <vt:lpstr>曝气风机工作数量</vt:lpstr>
      <vt:lpstr>曝气风机功率</vt:lpstr>
      <vt:lpstr>曝气干管90°弯头数量</vt:lpstr>
      <vt:lpstr>曝气干管管径d5</vt:lpstr>
      <vt:lpstr>曝气干管立管中心距池顶面距离J</vt:lpstr>
      <vt:lpstr>曝气干管立管中心距闸门迎水外侧距离H</vt:lpstr>
      <vt:lpstr>曝气干管立管中心距闸前进水渠池壁外侧距离L</vt:lpstr>
      <vt:lpstr>曝气干管末端法兰盘与曝气管管廊末端内墙距离U</vt:lpstr>
      <vt:lpstr>曝气干管长度</vt:lpstr>
      <vt:lpstr>曝气管管廊末端内墙与出水堰迎水侧外墙距离V</vt:lpstr>
      <vt:lpstr>曝气管中心距所在管廊墙内侧距离K</vt:lpstr>
      <vt:lpstr>曝气支管管径d6</vt:lpstr>
      <vt:lpstr>曝气支管设置间距</vt:lpstr>
      <vt:lpstr>曝气支管数量</vt:lpstr>
      <vt:lpstr>气水比</vt:lpstr>
      <vt:lpstr>砂斗壁斜坡_短边_底距离斗底方槽近侧距离F</vt:lpstr>
      <vt:lpstr>砂斗壁斜坡_长边_底距栅区内隔墙外侧距离D</vt:lpstr>
      <vt:lpstr>砂水分离器备用数量</vt:lpstr>
      <vt:lpstr>砂水分离器工作数量</vt:lpstr>
      <vt:lpstr>砂水分离器功率</vt:lpstr>
      <vt:lpstr>砂水分离器实际最小处理能力</vt:lpstr>
      <vt:lpstr>砂水分离器转速</vt:lpstr>
      <vt:lpstr>砂水分离器最大处理能力</vt:lpstr>
      <vt:lpstr>砂水分离器最小处理能力</vt:lpstr>
      <vt:lpstr>设计流量Q</vt:lpstr>
      <vt:lpstr>设计压力</vt:lpstr>
      <vt:lpstr>设计液位</vt:lpstr>
      <vt:lpstr>实际沉砂量</vt:lpstr>
      <vt:lpstr>水泵保护液位h2</vt:lpstr>
      <vt:lpstr>水泵备用数量</vt:lpstr>
      <vt:lpstr>水泵出水管管径</vt:lpstr>
      <vt:lpstr>水泵电机功率</vt:lpstr>
      <vt:lpstr>水泵流量</vt:lpstr>
      <vt:lpstr>水泵效率</vt:lpstr>
      <vt:lpstr>水泵运行数量</vt:lpstr>
      <vt:lpstr>碳钢曝气支管单位长度</vt:lpstr>
      <vt:lpstr>提砂风机风量</vt:lpstr>
      <vt:lpstr>提砂风机风压</vt:lpstr>
      <vt:lpstr>提砂风机功率</vt:lpstr>
      <vt:lpstr>提升后液位</vt:lpstr>
      <vt:lpstr>污水沉砂量</vt:lpstr>
      <vt:lpstr>吸砂机电机功率</vt:lpstr>
      <vt:lpstr>吸砂桥外侧单侧预埋件数量_1N</vt:lpstr>
      <vt:lpstr>型号</vt:lpstr>
      <vt:lpstr>旋流区宽B</vt:lpstr>
      <vt:lpstr>扬程</vt:lpstr>
      <vt:lpstr>有效池长A</vt:lpstr>
      <vt:lpstr>有效水深h2</vt:lpstr>
      <vt:lpstr>右泵室泵位</vt:lpstr>
      <vt:lpstr>运砂小车容积</vt:lpstr>
      <vt:lpstr>闸后进水渠道宽度尺寸G</vt:lpstr>
      <vt:lpstr>闸后进水渠道内超高h11</vt:lpstr>
      <vt:lpstr>闸后进水渠道内水深h10</vt:lpstr>
      <vt:lpstr>闸后进水渠道水面与池顶板下底高差h9</vt:lpstr>
      <vt:lpstr>闸后进水渠道长度尺寸P</vt:lpstr>
      <vt:lpstr>闸门数量</vt:lpstr>
      <vt:lpstr>总变化系数Kz</vt:lpstr>
      <vt:lpstr>总池长</vt:lpstr>
      <vt:lpstr>总供气量</vt:lpstr>
      <vt:lpstr>最远端曝气竖支管与曝气干管末端法兰盘外侧距离T</vt:lpstr>
      <vt:lpstr>最终型号</vt:lpstr>
      <vt:lpstr>左泵室泵位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张昊</dc:creator>
  <cp:lastModifiedBy>Microsoft Office User</cp:lastModifiedBy>
  <dcterms:created xsi:type="dcterms:W3CDTF">2021-02-25T08:49:40Z</dcterms:created>
  <dcterms:modified xsi:type="dcterms:W3CDTF">2021-10-24T10:22:20Z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2052-11.1.0.10214</vt:lpwstr>
  </property>
</Properties>
</file>