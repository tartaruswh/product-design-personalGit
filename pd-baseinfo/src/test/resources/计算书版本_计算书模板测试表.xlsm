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bim-test\"/>
    </mc:Choice>
  </mc:AlternateContent>
  <bookViews>
    <workbookView xWindow="-120" yWindow="-120" windowWidth="20730" windowHeight="11160" tabRatio="766" firstSheet="7" activeTab="9"/>
  </bookViews>
  <sheets>
    <sheet name="数学建模" sheetId="11" r:id="rId1"/>
    <sheet name="辅助-模块单元解耦" sheetId="12" r:id="rId2"/>
    <sheet name="辅助-型号" sheetId="13" r:id="rId3"/>
    <sheet name="辅助-输出功率" sheetId="14" r:id="rId4"/>
    <sheet name="辅助-内插法总变化系数" sheetId="15" r:id="rId5"/>
    <sheet name="辅助-碳钢钢管管径壁厚" sheetId="16" r:id="rId6"/>
    <sheet name="辅助-不锈钢管（曝气）管径壁厚" sheetId="17" r:id="rId7"/>
    <sheet name="辅助-PE管管径壁厚" sheetId="18" r:id="rId8"/>
    <sheet name="辅助-无压圆管水力计算" sheetId="20" r:id="rId9"/>
    <sheet name="3、设备配置清单表" sheetId="8" r:id="rId10"/>
  </sheets>
  <externalReferences>
    <externalReference r:id="rId11"/>
  </externalReferences>
  <definedNames>
    <definedName name="厂区排水进水管管径d2">数学建模!$B$80</definedName>
    <definedName name="充满度">数学建模!$G$75</definedName>
    <definedName name="充满角">数学建模!$B$78</definedName>
    <definedName name="单格渠道宽度B">数学建模!$B$16</definedName>
    <definedName name="格栅安装角度">数学建模!$B$23</definedName>
    <definedName name="格栅顶部安装空间预留长度L4">数学建模!$B$40</definedName>
    <definedName name="格栅后过水孔G2高">数学建模!$B$62</definedName>
    <definedName name="格栅后过水孔G2宽">数学建模!$B$61</definedName>
    <definedName name="格栅后预留空间实际长度L5">数学建模!$B$46</definedName>
    <definedName name="格栅后预留空间预设长度L5’">数学建模!$B$41</definedName>
    <definedName name="格栅机功率">数学建模!$B$66</definedName>
    <definedName name="格栅宽度">数学建模!$B$14</definedName>
    <definedName name="格栅类型">数学建模!$B$10</definedName>
    <definedName name="格栅前过水孔G1高">数学建模!$B$57</definedName>
    <definedName name="格栅前过水孔G1宽">数学建模!$B$56</definedName>
    <definedName name="格栅渠净宽度">数学建模!$B$18</definedName>
    <definedName name="格栅渠预留检修空间长度L2">数学建模!$B$38</definedName>
    <definedName name="格栅水平投影长度L3">数学建模!$B$39</definedName>
    <definedName name="管底预留预埋件安装高度h2">数学建模!$B$26</definedName>
    <definedName name="管内水深">数学建模!$B$77</definedName>
    <definedName name="过水断面面积">数学建模!$B$79</definedName>
    <definedName name="过水孔G1底部距池底高度">数学建模!$B$32</definedName>
    <definedName name="过水孔G1底部距池顶高度">数学建模!$B$33</definedName>
    <definedName name="过水孔G2底部距池底高度">数学建模!$B$34</definedName>
    <definedName name="过水孔G2底部距池顶高度">数学建模!$B$35</definedName>
    <definedName name="过水渠与格栅渠隔墙厚度">数学建模!$B$42</definedName>
    <definedName name="过水渠长L6">数学建模!$B$43</definedName>
    <definedName name="过栅流速">数学建模!$G$14</definedName>
    <definedName name="过栅水头损失">数学建模!$B$30</definedName>
    <definedName name="介质类别">数学建模!$B$75</definedName>
    <definedName name="进水管管底标高">数学建模!$B$9</definedName>
    <definedName name="进水管管底埋深M">数学建模!$B$28</definedName>
    <definedName name="进水井超过地面高度h1">数学建模!$B$25</definedName>
    <definedName name="进水井宽度">数学建模!$B$27</definedName>
    <definedName name="进水井深度_渠深_H">数学建模!$B$29</definedName>
    <definedName name="进水井与格栅渠隔墙厚度">数学建模!$B$37</definedName>
    <definedName name="进水井长度L1">数学建模!$B$36</definedName>
    <definedName name="进水提升泵房集水池长">数学建模!$B$45</definedName>
    <definedName name="流量10000">'辅助-型号'!$A$2</definedName>
    <definedName name="流量100000">'辅助-型号'!$S$2</definedName>
    <definedName name="流量110000">'辅助-型号'!$T$2</definedName>
    <definedName name="流量120000">'辅助-型号'!$U$2</definedName>
    <definedName name="流量130000">'辅助-型号'!$V$2</definedName>
    <definedName name="流量140000">'辅助-型号'!$W$2</definedName>
    <definedName name="流量15000">'辅助-型号'!$B$2</definedName>
    <definedName name="流量150000">'辅助-型号'!$X$2</definedName>
    <definedName name="流量160000">'辅助-型号'!$Y$2</definedName>
    <definedName name="流量170000">'辅助-型号'!$Z$2</definedName>
    <definedName name="流量180000">'辅助-型号'!$AA$2</definedName>
    <definedName name="流量190000">'辅助-型号'!$AB$2</definedName>
    <definedName name="流量20000">'辅助-型号'!$C$2</definedName>
    <definedName name="流量200000">'辅助-型号'!$AC$2</definedName>
    <definedName name="流量25000">'辅助-型号'!$D$2</definedName>
    <definedName name="流量30000">'辅助-型号'!$E$2</definedName>
    <definedName name="流量35000">'辅助-型号'!$F$2</definedName>
    <definedName name="流量40000">'辅助-型号'!$G$2</definedName>
    <definedName name="流量45000">'辅助-型号'!$H$2</definedName>
    <definedName name="流量50000">'辅助-型号'!$I$2</definedName>
    <definedName name="流量55000">'辅助-型号'!$J$2</definedName>
    <definedName name="流量60000">'辅助-型号'!$K$2</definedName>
    <definedName name="流量65000">'辅助-型号'!$L$2</definedName>
    <definedName name="流量70000">'辅助-型号'!$M$2</definedName>
    <definedName name="流量75000">'辅助-型号'!$N$2</definedName>
    <definedName name="流量80000">'辅助-型号'!$O$2</definedName>
    <definedName name="流量85000">'辅助-型号'!$P$2</definedName>
    <definedName name="流量90000">'辅助-型号'!$Q$2</definedName>
    <definedName name="流量95000">'辅助-型号'!$R$2</definedName>
    <definedName name="每日栅渣量">数学建模!$B$53</definedName>
    <definedName name="模块型号">数学建模!$A$106</definedName>
    <definedName name="皮带上表面距平台高度">数学建模!$B$70</definedName>
    <definedName name="皮带输送机功率">数学建模!$B$71</definedName>
    <definedName name="皮带输送机宽度">数学建模!$B$67</definedName>
    <definedName name="皮带输送机长度与格栅渠宽度偏差">数学建模!$B$68</definedName>
    <definedName name="皮带输送长度">数学建模!$B$69</definedName>
    <definedName name="平均日流量">数学建模!$B$5</definedName>
    <definedName name="渠道超宽">数学建模!$B$15</definedName>
    <definedName name="渠道隔墙厚度d">数学建模!$B$17</definedName>
    <definedName name="渠道数量">数学建模!$B$11</definedName>
    <definedName name="设计流量Q">数学建模!$B$4</definedName>
    <definedName name="设计栅渣量">数学建模!$B$52</definedName>
    <definedName name="污水总进水管管径d1">数学建模!$B$76</definedName>
    <definedName name="型号">数学建模!$C$8</definedName>
    <definedName name="预设总长">数学建模!$B$44</definedName>
    <definedName name="栅后电动附壁闸门功率">数学建模!$B$65</definedName>
    <definedName name="栅后水深">数学建模!$B$31</definedName>
    <definedName name="栅后闸门门体超高">数学建模!$B$63</definedName>
    <definedName name="栅后闸门提升高度">数学建模!$B$64</definedName>
    <definedName name="栅前电动附壁闸门功率">数学建模!$B$60</definedName>
    <definedName name="栅前工作水深">数学建模!$B$24</definedName>
    <definedName name="栅前闸门门体超高">数学建模!$B$58</definedName>
    <definedName name="栅前闸门提升高度">数学建模!$B$59</definedName>
    <definedName name="栅条的间隙数n">数学建模!$B$22</definedName>
    <definedName name="栅条间隙b">数学建模!$B$20</definedName>
    <definedName name="栅条宽度S">数学建模!$B$21</definedName>
    <definedName name="栅渣小车容积">数学建模!$B$72</definedName>
    <definedName name="总变化系数Kz">数学建模!$B$6</definedName>
    <definedName name="最终型号">数学建模!$B$8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3" l="1"/>
  <c r="AB2" i="13" s="1"/>
  <c r="AA2" i="13"/>
  <c r="Z2" i="13"/>
  <c r="Y2" i="13"/>
  <c r="X2" i="13"/>
  <c r="W2" i="13"/>
  <c r="V2" i="13" s="1"/>
  <c r="U2" i="13"/>
  <c r="T2" i="13"/>
  <c r="S2" i="13"/>
  <c r="R2" i="13" s="1"/>
  <c r="Q2" i="13"/>
  <c r="P2" i="13" s="1"/>
  <c r="O2" i="13"/>
  <c r="N2" i="13"/>
  <c r="M2" i="13"/>
  <c r="L2" i="13"/>
  <c r="K2" i="13"/>
  <c r="J2" i="13"/>
  <c r="I2" i="13"/>
  <c r="H2" i="13"/>
  <c r="G2" i="13"/>
  <c r="F2" i="13"/>
  <c r="E2" i="13"/>
  <c r="D2" i="13" s="1"/>
  <c r="C2" i="13"/>
  <c r="B2" i="13"/>
  <c r="A2" i="13"/>
  <c r="B7" i="11"/>
  <c r="F2" i="12" l="1"/>
  <c r="G2" i="12"/>
  <c r="H2" i="12"/>
  <c r="I2" i="12"/>
  <c r="J2" i="12"/>
  <c r="K2" i="12"/>
  <c r="L2" i="12"/>
  <c r="M2" i="12"/>
  <c r="N2" i="12"/>
  <c r="O2" i="12"/>
  <c r="P2" i="12"/>
  <c r="Q2" i="12"/>
  <c r="E2" i="12"/>
  <c r="D2" i="12"/>
  <c r="C2" i="12"/>
  <c r="C45" i="11" l="1"/>
  <c r="B45" i="11"/>
  <c r="C28" i="11" l="1"/>
  <c r="B28" i="11"/>
  <c r="D86" i="11" l="1"/>
  <c r="A86" i="11"/>
  <c r="J76" i="11"/>
  <c r="I76" i="11"/>
  <c r="C8" i="20"/>
  <c r="C10" i="20" l="1"/>
  <c r="C53" i="11" l="1"/>
  <c r="B53" i="11"/>
  <c r="D96" i="11" l="1"/>
  <c r="D97" i="11"/>
  <c r="A96" i="11"/>
  <c r="A97" i="11"/>
  <c r="D94" i="11"/>
  <c r="D93" i="11"/>
  <c r="D92" i="11"/>
  <c r="D91" i="11"/>
  <c r="D90" i="11"/>
  <c r="D89" i="11"/>
  <c r="D88" i="11"/>
  <c r="D87" i="11"/>
  <c r="D85" i="11"/>
  <c r="A94" i="11"/>
  <c r="A93" i="11"/>
  <c r="A91" i="11"/>
  <c r="A92" i="11"/>
  <c r="A88" i="11"/>
  <c r="A89" i="11"/>
  <c r="A90" i="11"/>
  <c r="A87" i="11"/>
  <c r="D44" i="8"/>
  <c r="D58" i="8"/>
  <c r="D72" i="8"/>
  <c r="D86" i="8"/>
  <c r="D100" i="8"/>
  <c r="D142" i="8"/>
  <c r="D156" i="8"/>
  <c r="D30" i="8"/>
  <c r="E16" i="20" l="1"/>
  <c r="E15" i="20"/>
  <c r="D16" i="8" l="1"/>
  <c r="D2" i="8"/>
  <c r="D184" i="8" l="1"/>
  <c r="D170" i="8"/>
  <c r="D128" i="8"/>
  <c r="D114" i="8"/>
  <c r="D103" i="11"/>
  <c r="A103" i="11"/>
  <c r="D102" i="11"/>
  <c r="A102" i="11"/>
  <c r="D101" i="11"/>
  <c r="A101" i="11"/>
  <c r="D100" i="11"/>
  <c r="A100" i="11"/>
  <c r="D99" i="11"/>
  <c r="A99" i="11"/>
  <c r="D98" i="11"/>
  <c r="A98" i="11"/>
  <c r="D95" i="11"/>
  <c r="A95" i="11"/>
  <c r="A85" i="11"/>
  <c r="A84" i="11"/>
  <c r="B5" i="11"/>
  <c r="B6" i="11" s="1"/>
  <c r="D198" i="8" l="1"/>
  <c r="C8" i="11" l="1"/>
  <c r="B98" i="11"/>
  <c r="B43" i="11" l="1"/>
  <c r="B93" i="11" s="1"/>
  <c r="B36" i="11"/>
  <c r="C37" i="11"/>
  <c r="C20" i="11"/>
  <c r="C15" i="11"/>
  <c r="C14" i="11"/>
  <c r="C36" i="11"/>
  <c r="C19" i="11"/>
  <c r="C26" i="11"/>
  <c r="C24" i="11"/>
  <c r="C40" i="11"/>
  <c r="C23" i="11"/>
  <c r="C21" i="11"/>
  <c r="C43" i="11"/>
  <c r="C30" i="11"/>
  <c r="C42" i="11"/>
  <c r="C34" i="11"/>
  <c r="C25" i="11"/>
  <c r="C17" i="11"/>
  <c r="C41" i="11"/>
  <c r="C32" i="11"/>
  <c r="C38" i="11"/>
  <c r="B70" i="11"/>
  <c r="B19" i="11"/>
  <c r="B10" i="11"/>
  <c r="E123" i="11" s="1"/>
  <c r="B40" i="11"/>
  <c r="B90" i="11" s="1"/>
  <c r="B56" i="11"/>
  <c r="B62" i="11"/>
  <c r="B24" i="11"/>
  <c r="B41" i="11"/>
  <c r="B91" i="11" s="1"/>
  <c r="B15" i="11"/>
  <c r="B32" i="11"/>
  <c r="B20" i="11"/>
  <c r="B23" i="11"/>
  <c r="C11" i="11"/>
  <c r="B58" i="11"/>
  <c r="B65" i="11"/>
  <c r="C76" i="11"/>
  <c r="B80" i="11"/>
  <c r="G130" i="11" s="1"/>
  <c r="B38" i="11"/>
  <c r="B88" i="11" s="1"/>
  <c r="B21" i="11"/>
  <c r="B68" i="11"/>
  <c r="B17" i="11"/>
  <c r="B102" i="11" s="1"/>
  <c r="B57" i="11"/>
  <c r="B37" i="11"/>
  <c r="B87" i="11" s="1"/>
  <c r="B72" i="11"/>
  <c r="G125" i="11" s="1"/>
  <c r="B67" i="11"/>
  <c r="B71" i="11"/>
  <c r="B61" i="11"/>
  <c r="J126" i="11"/>
  <c r="C58" i="11"/>
  <c r="B66" i="11"/>
  <c r="B42" i="11"/>
  <c r="B92" i="11" s="1"/>
  <c r="B26" i="11"/>
  <c r="B97" i="11" s="1"/>
  <c r="C65" i="11"/>
  <c r="B60" i="11"/>
  <c r="C80" i="11"/>
  <c r="B14" i="11"/>
  <c r="B30" i="11"/>
  <c r="C71" i="11"/>
  <c r="B25" i="11"/>
  <c r="C61" i="11"/>
  <c r="B34" i="11"/>
  <c r="C67" i="11"/>
  <c r="B76" i="11"/>
  <c r="K75" i="11" s="1"/>
  <c r="B63" i="11"/>
  <c r="C57" i="11"/>
  <c r="C62" i="11"/>
  <c r="C56" i="11"/>
  <c r="C66" i="11"/>
  <c r="C68" i="11"/>
  <c r="C70" i="11"/>
  <c r="C60" i="11"/>
  <c r="C72" i="11"/>
  <c r="C63" i="11"/>
  <c r="B31" i="11" l="1"/>
  <c r="C29" i="11"/>
  <c r="B29" i="11"/>
  <c r="B96" i="11"/>
  <c r="B85" i="11"/>
  <c r="C49" i="11"/>
  <c r="B95" i="11"/>
  <c r="C31" i="11"/>
  <c r="C16" i="11"/>
  <c r="C22" i="11"/>
  <c r="B100" i="11"/>
  <c r="B16" i="11"/>
  <c r="C59" i="11"/>
  <c r="C77" i="11"/>
  <c r="B49" i="11"/>
  <c r="J133" i="11"/>
  <c r="B59" i="11"/>
  <c r="J132" i="11"/>
  <c r="C64" i="11"/>
  <c r="B77" i="11"/>
  <c r="G75" i="11" s="1"/>
  <c r="B78" i="11" s="1"/>
  <c r="B22" i="11"/>
  <c r="G14" i="11" s="1"/>
  <c r="G128" i="11"/>
  <c r="I75" i="11"/>
  <c r="J131" i="11"/>
  <c r="G127" i="11"/>
  <c r="B64" i="11"/>
  <c r="G61" i="11"/>
  <c r="G129" i="11"/>
  <c r="C4" i="20"/>
  <c r="C5" i="20" s="1"/>
  <c r="C12" i="20" s="1"/>
  <c r="G56" i="11"/>
  <c r="J123" i="11"/>
  <c r="J135" i="11"/>
  <c r="G57" i="11"/>
  <c r="G62" i="11"/>
  <c r="J122" i="11"/>
  <c r="G131" i="11"/>
  <c r="B39" i="11" l="1"/>
  <c r="C39" i="11"/>
  <c r="I185" i="8"/>
  <c r="C33" i="11"/>
  <c r="C35" i="11"/>
  <c r="B18" i="11"/>
  <c r="C27" i="11" s="1"/>
  <c r="C18" i="11"/>
  <c r="I45" i="8"/>
  <c r="G17" i="11"/>
  <c r="G15" i="11"/>
  <c r="I87" i="8"/>
  <c r="I3" i="8"/>
  <c r="B101" i="11"/>
  <c r="G132" i="11"/>
  <c r="G16" i="11"/>
  <c r="I143" i="8"/>
  <c r="B33" i="11"/>
  <c r="G122" i="11" s="1"/>
  <c r="I31" i="8"/>
  <c r="I199" i="8"/>
  <c r="B35" i="11"/>
  <c r="I160" i="8" s="1"/>
  <c r="G123" i="11"/>
  <c r="B99" i="11"/>
  <c r="I59" i="8"/>
  <c r="I101" i="8"/>
  <c r="I115" i="8"/>
  <c r="I157" i="8"/>
  <c r="E7" i="20"/>
  <c r="C7" i="20" s="1"/>
  <c r="I17" i="8"/>
  <c r="I171" i="8"/>
  <c r="E6" i="20"/>
  <c r="I73" i="8"/>
  <c r="I129" i="8"/>
  <c r="C78" i="11"/>
  <c r="B79" i="11"/>
  <c r="G76" i="11" s="1"/>
  <c r="C79" i="11"/>
  <c r="C11" i="20"/>
  <c r="C13" i="20" s="1"/>
  <c r="B69" i="11" l="1"/>
  <c r="G124" i="11" s="1"/>
  <c r="B44" i="11"/>
  <c r="B94" i="11" s="1"/>
  <c r="C44" i="11"/>
  <c r="B103" i="11"/>
  <c r="B27" i="11"/>
  <c r="B48" i="11" s="1"/>
  <c r="C69" i="11"/>
  <c r="B89" i="11"/>
  <c r="I188" i="8"/>
  <c r="I202" i="8"/>
  <c r="I76" i="8"/>
  <c r="I90" i="8"/>
  <c r="I184" i="8"/>
  <c r="I48" i="8"/>
  <c r="I146" i="8"/>
  <c r="I20" i="8"/>
  <c r="I62" i="8"/>
  <c r="I132" i="8"/>
  <c r="I174" i="8"/>
  <c r="I34" i="8"/>
  <c r="I118" i="8"/>
  <c r="I6" i="8"/>
  <c r="G126" i="11"/>
  <c r="I104" i="8"/>
  <c r="G133" i="11"/>
  <c r="I170" i="8"/>
  <c r="I100" i="8"/>
  <c r="I114" i="8"/>
  <c r="I16" i="8"/>
  <c r="I72" i="8"/>
  <c r="I156" i="8"/>
  <c r="I86" i="8"/>
  <c r="I30" i="8"/>
  <c r="I128" i="8"/>
  <c r="I142" i="8"/>
  <c r="I44" i="8"/>
  <c r="I2" i="8"/>
  <c r="I58" i="8"/>
  <c r="I198" i="8"/>
  <c r="C15" i="20"/>
  <c r="C16" i="20" s="1"/>
  <c r="C17" i="20" s="1"/>
  <c r="C18" i="20" s="1"/>
  <c r="C48" i="11" l="1"/>
  <c r="B86" i="11"/>
  <c r="B8" i="11" a="1"/>
  <c r="B8" i="11" s="1"/>
  <c r="A106" i="11" s="1"/>
  <c r="K106" i="11" s="1" a="1"/>
  <c r="A122" i="11" l="1"/>
  <c r="B84" i="11"/>
  <c r="E106" i="11" a="1"/>
  <c r="E115" i="11" s="1"/>
  <c r="I106" i="11" a="1"/>
  <c r="I107" i="11" s="1"/>
  <c r="D106" i="11" a="1"/>
  <c r="D115" i="11" s="1"/>
  <c r="H106" i="11" a="1"/>
  <c r="H119" i="11" s="1"/>
  <c r="B106" i="11" a="1"/>
  <c r="B107" i="11" s="1"/>
  <c r="K119" i="11"/>
  <c r="K115" i="11"/>
  <c r="K111" i="11"/>
  <c r="K107" i="11"/>
  <c r="K118" i="11"/>
  <c r="K114" i="11"/>
  <c r="K110" i="11"/>
  <c r="K106" i="11"/>
  <c r="K117" i="11"/>
  <c r="K113" i="11"/>
  <c r="K109" i="11"/>
  <c r="K116" i="11"/>
  <c r="K112" i="11"/>
  <c r="K108" i="11"/>
  <c r="C16" i="8"/>
  <c r="C17" i="8" s="1"/>
  <c r="C18" i="8" s="1"/>
  <c r="C19" i="8" s="1"/>
  <c r="C20" i="8" s="1"/>
  <c r="C21" i="8" s="1"/>
  <c r="C22" i="8" s="1"/>
  <c r="C23" i="8" s="1"/>
  <c r="C24" i="8" s="1"/>
  <c r="C198" i="8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184" i="8"/>
  <c r="C185" i="8" s="1"/>
  <c r="C186" i="8" s="1"/>
  <c r="C187" i="8" s="1"/>
  <c r="C188" i="8" s="1"/>
  <c r="C189" i="8" s="1"/>
  <c r="C190" i="8" s="1"/>
  <c r="C191" i="8" s="1"/>
  <c r="C192" i="8" s="1"/>
  <c r="C170" i="8"/>
  <c r="C171" i="8" s="1"/>
  <c r="C172" i="8" s="1"/>
  <c r="C173" i="8" s="1"/>
  <c r="C174" i="8" s="1"/>
  <c r="C175" i="8" s="1"/>
  <c r="C176" i="8" s="1"/>
  <c r="C177" i="8" s="1"/>
  <c r="C178" i="8" s="1"/>
  <c r="C156" i="8"/>
  <c r="C157" i="8" s="1"/>
  <c r="C158" i="8" s="1"/>
  <c r="C159" i="8" s="1"/>
  <c r="C160" i="8" s="1"/>
  <c r="C161" i="8" s="1"/>
  <c r="C162" i="8" s="1"/>
  <c r="C163" i="8" s="1"/>
  <c r="C164" i="8" s="1"/>
  <c r="C142" i="8"/>
  <c r="C143" i="8" s="1"/>
  <c r="C144" i="8" s="1"/>
  <c r="C145" i="8" s="1"/>
  <c r="C146" i="8" s="1"/>
  <c r="C147" i="8" s="1"/>
  <c r="C148" i="8" s="1"/>
  <c r="C149" i="8" s="1"/>
  <c r="C150" i="8" s="1"/>
  <c r="C128" i="8"/>
  <c r="C129" i="8" s="1"/>
  <c r="C130" i="8" s="1"/>
  <c r="C131" i="8" s="1"/>
  <c r="C132" i="8" s="1"/>
  <c r="C133" i="8" s="1"/>
  <c r="C134" i="8" s="1"/>
  <c r="C135" i="8" s="1"/>
  <c r="C136" i="8" s="1"/>
  <c r="C114" i="8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00" i="8"/>
  <c r="C101" i="8" s="1"/>
  <c r="C102" i="8" s="1"/>
  <c r="C103" i="8" s="1"/>
  <c r="C104" i="8" s="1"/>
  <c r="C105" i="8" s="1"/>
  <c r="C106" i="8" s="1"/>
  <c r="C107" i="8" s="1"/>
  <c r="C108" i="8" s="1"/>
  <c r="C86" i="8"/>
  <c r="C87" i="8" s="1"/>
  <c r="C88" i="8" s="1"/>
  <c r="C89" i="8" s="1"/>
  <c r="C90" i="8" s="1"/>
  <c r="C91" i="8" s="1"/>
  <c r="C92" i="8" s="1"/>
  <c r="C93" i="8" s="1"/>
  <c r="C94" i="8" s="1"/>
  <c r="C72" i="8"/>
  <c r="C73" i="8" s="1"/>
  <c r="C74" i="8" s="1"/>
  <c r="C75" i="8" s="1"/>
  <c r="C76" i="8" s="1"/>
  <c r="C77" i="8" s="1"/>
  <c r="C78" i="8" s="1"/>
  <c r="C79" i="8" s="1"/>
  <c r="C80" i="8" s="1"/>
  <c r="E107" i="11" l="1"/>
  <c r="E108" i="11"/>
  <c r="E109" i="11"/>
  <c r="E117" i="11"/>
  <c r="E106" i="11"/>
  <c r="E119" i="11"/>
  <c r="E116" i="11"/>
  <c r="E110" i="11"/>
  <c r="E111" i="11"/>
  <c r="D114" i="11"/>
  <c r="D107" i="11"/>
  <c r="D113" i="11"/>
  <c r="D118" i="11"/>
  <c r="D111" i="11"/>
  <c r="D117" i="11"/>
  <c r="D108" i="11"/>
  <c r="D119" i="11"/>
  <c r="D106" i="11"/>
  <c r="D116" i="11"/>
  <c r="E118" i="11"/>
  <c r="E114" i="11"/>
  <c r="E113" i="11"/>
  <c r="E112" i="11"/>
  <c r="I109" i="11"/>
  <c r="I110" i="11"/>
  <c r="I111" i="11"/>
  <c r="I108" i="11"/>
  <c r="I113" i="11"/>
  <c r="I114" i="11"/>
  <c r="I115" i="11"/>
  <c r="D109" i="11"/>
  <c r="D110" i="11"/>
  <c r="D112" i="11"/>
  <c r="I112" i="11"/>
  <c r="I117" i="11"/>
  <c r="I118" i="11"/>
  <c r="I119" i="11"/>
  <c r="I116" i="11"/>
  <c r="I106" i="11"/>
  <c r="B110" i="11"/>
  <c r="B114" i="11"/>
  <c r="B118" i="11"/>
  <c r="H106" i="11"/>
  <c r="H112" i="11"/>
  <c r="H109" i="11"/>
  <c r="H107" i="11"/>
  <c r="B111" i="11"/>
  <c r="B117" i="11"/>
  <c r="B119" i="11"/>
  <c r="H111" i="11"/>
  <c r="H118" i="11"/>
  <c r="B109" i="11"/>
  <c r="B113" i="11"/>
  <c r="B108" i="11"/>
  <c r="B115" i="11"/>
  <c r="B106" i="11"/>
  <c r="H108" i="11"/>
  <c r="H114" i="11"/>
  <c r="H116" i="11"/>
  <c r="B112" i="11"/>
  <c r="B116" i="11"/>
  <c r="H113" i="11"/>
  <c r="H115" i="11"/>
  <c r="H110" i="11"/>
  <c r="H117" i="11"/>
  <c r="C193" i="8"/>
  <c r="C194" i="8" s="1"/>
  <c r="C195" i="8" s="1"/>
  <c r="C196" i="8" s="1"/>
  <c r="C197" i="8" s="1"/>
  <c r="C179" i="8"/>
  <c r="C180" i="8" s="1"/>
  <c r="C181" i="8" s="1"/>
  <c r="C182" i="8" s="1"/>
  <c r="C183" i="8" s="1"/>
  <c r="C165" i="8"/>
  <c r="C166" i="8" s="1"/>
  <c r="C167" i="8" s="1"/>
  <c r="C168" i="8" s="1"/>
  <c r="C169" i="8" s="1"/>
  <c r="C151" i="8"/>
  <c r="C152" i="8" s="1"/>
  <c r="C153" i="8" s="1"/>
  <c r="C154" i="8" s="1"/>
  <c r="C155" i="8" s="1"/>
  <c r="C137" i="8"/>
  <c r="C138" i="8" s="1"/>
  <c r="C139" i="8" s="1"/>
  <c r="C140" i="8" s="1"/>
  <c r="C141" i="8" s="1"/>
  <c r="C109" i="8"/>
  <c r="C110" i="8" s="1"/>
  <c r="C111" i="8" s="1"/>
  <c r="C112" i="8" s="1"/>
  <c r="C113" i="8" s="1"/>
  <c r="C95" i="8"/>
  <c r="C96" i="8" s="1"/>
  <c r="C97" i="8" s="1"/>
  <c r="C98" i="8" s="1"/>
  <c r="C99" i="8" s="1"/>
  <c r="C81" i="8"/>
  <c r="C82" i="8" s="1"/>
  <c r="C83" i="8" s="1"/>
  <c r="C84" i="8" s="1"/>
  <c r="C85" i="8" s="1"/>
  <c r="C25" i="8"/>
  <c r="C26" i="8" s="1"/>
  <c r="C27" i="8" s="1"/>
  <c r="C28" i="8" s="1"/>
  <c r="C29" i="8" s="1"/>
  <c r="C58" i="8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44" i="8" l="1"/>
  <c r="C45" i="8" s="1"/>
  <c r="C46" i="8" s="1"/>
  <c r="C47" i="8" s="1"/>
  <c r="C48" i="8" s="1"/>
  <c r="C49" i="8" s="1"/>
  <c r="C50" i="8" s="1"/>
  <c r="C51" i="8" s="1"/>
  <c r="C52" i="8" s="1"/>
  <c r="C30" i="8"/>
  <c r="C31" i="8" s="1"/>
  <c r="C32" i="8" s="1"/>
  <c r="C33" i="8" s="1"/>
  <c r="C34" i="8" s="1"/>
  <c r="C35" i="8" s="1"/>
  <c r="C36" i="8" s="1"/>
  <c r="C37" i="8" s="1"/>
  <c r="C38" i="8" s="1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53" i="8" l="1"/>
  <c r="C54" i="8" s="1"/>
  <c r="C55" i="8" s="1"/>
  <c r="C56" i="8" s="1"/>
  <c r="C57" i="8" s="1"/>
  <c r="C39" i="8"/>
  <c r="C40" i="8" s="1"/>
  <c r="C41" i="8" s="1"/>
  <c r="C42" i="8" s="1"/>
  <c r="C43" i="8" s="1"/>
  <c r="G106" i="11" l="1" a="1"/>
  <c r="G119" i="11" l="1"/>
  <c r="G113" i="11"/>
  <c r="G106" i="11"/>
  <c r="G112" i="11"/>
  <c r="G114" i="11"/>
  <c r="G110" i="11"/>
  <c r="G115" i="11"/>
  <c r="G118" i="11"/>
  <c r="G117" i="11"/>
  <c r="G108" i="11"/>
  <c r="G111" i="11"/>
  <c r="G109" i="11"/>
  <c r="G107" i="11"/>
  <c r="G116" i="11"/>
  <c r="J106" i="11" a="1"/>
  <c r="J115" i="11" l="1"/>
  <c r="J113" i="11"/>
  <c r="J117" i="11"/>
  <c r="J106" i="11"/>
  <c r="J109" i="11"/>
  <c r="J116" i="11"/>
  <c r="J107" i="11"/>
  <c r="J111" i="11"/>
  <c r="J119" i="11"/>
  <c r="J110" i="11"/>
  <c r="J118" i="11"/>
  <c r="J112" i="11"/>
  <c r="J114" i="11"/>
  <c r="J108" i="11"/>
  <c r="B46" i="11" l="1"/>
  <c r="C46" i="11"/>
  <c r="B47" i="11" l="1"/>
  <c r="C47" i="11"/>
</calcChain>
</file>

<file path=xl/comments1.xml><?xml version="1.0" encoding="utf-8"?>
<comments xmlns="http://schemas.openxmlformats.org/spreadsheetml/2006/main">
  <authors>
    <author>作者</author>
  </authors>
  <commentLis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规范1500以上未给出参考值，此处设置1500以上按1500取值。实际可调低，毕竟坡度是为调节流速而定，流速合理即可。
此处用内插法计算，trend函数返回值必须用round圆整，否则，由于返回值的微小误差，将导致C7的条件格式在个别值上将出现错误。</t>
        </r>
      </text>
    </comment>
  </commentList>
</comments>
</file>

<file path=xl/sharedStrings.xml><?xml version="1.0" encoding="utf-8"?>
<sst xmlns="http://schemas.openxmlformats.org/spreadsheetml/2006/main" count="1694" uniqueCount="443">
  <si>
    <t>模块型号</t>
    <phoneticPr fontId="4" type="noConversion"/>
  </si>
  <si>
    <t>名称</t>
    <phoneticPr fontId="2" type="noConversion"/>
  </si>
  <si>
    <t>个</t>
    <phoneticPr fontId="2" type="noConversion"/>
  </si>
  <si>
    <t>m3/d</t>
    <phoneticPr fontId="2" type="noConversion"/>
  </si>
  <si>
    <t>mm</t>
    <phoneticPr fontId="2" type="noConversion"/>
  </si>
  <si>
    <t>m/s</t>
    <phoneticPr fontId="2" type="noConversion"/>
  </si>
  <si>
    <t>m</t>
    <phoneticPr fontId="2" type="noConversion"/>
  </si>
  <si>
    <t>°</t>
    <phoneticPr fontId="2" type="noConversion"/>
  </si>
  <si>
    <t>—</t>
    <phoneticPr fontId="2" type="noConversion"/>
  </si>
  <si>
    <r>
      <rPr>
        <sz val="10"/>
        <color theme="1"/>
        <rFont val="宋体"/>
        <family val="3"/>
        <charset val="134"/>
      </rPr>
      <t>钢丝绳牵引式粗格栅机</t>
    </r>
  </si>
  <si>
    <r>
      <rPr>
        <b/>
        <sz val="11"/>
        <color theme="1"/>
        <rFont val="宋体"/>
        <family val="3"/>
        <charset val="134"/>
      </rPr>
      <t>序号</t>
    </r>
    <phoneticPr fontId="2" type="noConversion"/>
  </si>
  <si>
    <r>
      <rPr>
        <b/>
        <sz val="11"/>
        <color theme="1"/>
        <rFont val="宋体"/>
        <family val="3"/>
        <charset val="134"/>
      </rPr>
      <t>处理规模（</t>
    </r>
    <r>
      <rPr>
        <b/>
        <sz val="11"/>
        <color theme="1"/>
        <rFont val="Times New Roman"/>
        <family val="1"/>
      </rPr>
      <t>m3/d</t>
    </r>
    <r>
      <rPr>
        <b/>
        <sz val="11"/>
        <color theme="1"/>
        <rFont val="宋体"/>
        <family val="3"/>
        <charset val="134"/>
      </rPr>
      <t>）</t>
    </r>
    <phoneticPr fontId="2" type="noConversion"/>
  </si>
  <si>
    <r>
      <rPr>
        <b/>
        <sz val="11"/>
        <color theme="1"/>
        <rFont val="宋体"/>
        <family val="3"/>
        <charset val="134"/>
      </rPr>
      <t>定位编号（隐藏）</t>
    </r>
    <phoneticPr fontId="2" type="noConversion"/>
  </si>
  <si>
    <r>
      <rPr>
        <b/>
        <sz val="11"/>
        <color theme="1"/>
        <rFont val="宋体"/>
        <family val="3"/>
        <charset val="134"/>
      </rPr>
      <t>模块型号</t>
    </r>
  </si>
  <si>
    <r>
      <rPr>
        <b/>
        <sz val="11"/>
        <color theme="1"/>
        <rFont val="宋体"/>
        <family val="3"/>
        <charset val="134"/>
      </rPr>
      <t>渠道个数</t>
    </r>
    <phoneticPr fontId="2" type="noConversion"/>
  </si>
  <si>
    <r>
      <rPr>
        <b/>
        <sz val="11"/>
        <color theme="1"/>
        <rFont val="宋体"/>
        <family val="3"/>
        <charset val="134"/>
      </rPr>
      <t>物资信息编码</t>
    </r>
  </si>
  <si>
    <r>
      <rPr>
        <b/>
        <sz val="10"/>
        <color theme="1"/>
        <rFont val="宋体"/>
        <family val="3"/>
        <charset val="134"/>
      </rPr>
      <t>数量</t>
    </r>
  </si>
  <si>
    <r>
      <rPr>
        <b/>
        <sz val="10"/>
        <color theme="1"/>
        <rFont val="宋体"/>
        <family val="3"/>
        <charset val="134"/>
      </rPr>
      <t>备注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</si>
  <si>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-1-X01A/B</t>
    </r>
    <phoneticPr fontId="2" type="noConversion"/>
  </si>
  <si>
    <r>
      <rPr>
        <sz val="11"/>
        <color theme="1"/>
        <rFont val="宋体"/>
        <family val="3"/>
        <charset val="134"/>
      </rPr>
      <t>工艺设备</t>
    </r>
    <phoneticPr fontId="2" type="noConversion"/>
  </si>
  <si>
    <r>
      <rPr>
        <sz val="10"/>
        <color theme="1"/>
        <rFont val="宋体"/>
        <family val="3"/>
        <charset val="134"/>
      </rPr>
      <t>附壁式铸铁镶铜方闸门</t>
    </r>
    <phoneticPr fontId="2" type="noConversion"/>
  </si>
  <si>
    <r>
      <rPr>
        <sz val="10"/>
        <color theme="1"/>
        <rFont val="宋体"/>
        <family val="3"/>
        <charset val="134"/>
      </rPr>
      <t>台</t>
    </r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</si>
  <si>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-1-X02A/B</t>
    </r>
  </si>
  <si>
    <r>
      <rPr>
        <sz val="10"/>
        <color theme="1"/>
        <rFont val="宋体"/>
        <family val="3"/>
        <charset val="134"/>
      </rPr>
      <t>回转式格栅除污机</t>
    </r>
    <phoneticPr fontId="2" type="noConversion"/>
  </si>
  <si>
    <r>
      <rPr>
        <sz val="10"/>
        <color theme="1"/>
        <rFont val="宋体"/>
        <family val="3"/>
        <charset val="134"/>
      </rPr>
      <t>台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</si>
  <si>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-1-L01</t>
    </r>
    <phoneticPr fontId="2" type="noConversion"/>
  </si>
  <si>
    <r>
      <rPr>
        <sz val="10"/>
        <color theme="1"/>
        <rFont val="宋体"/>
        <family val="3"/>
        <charset val="134"/>
      </rPr>
      <t>皮带输送机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</si>
  <si>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-1-V01</t>
    </r>
    <phoneticPr fontId="2" type="noConversion"/>
  </si>
  <si>
    <r>
      <rPr>
        <sz val="10"/>
        <color theme="1"/>
        <rFont val="宋体"/>
        <family val="3"/>
        <charset val="134"/>
      </rPr>
      <t>栅渣小车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</si>
  <si>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-1-X03A/B</t>
    </r>
    <phoneticPr fontId="2" type="noConversion"/>
  </si>
  <si>
    <r>
      <rPr>
        <sz val="11"/>
        <color theme="1"/>
        <rFont val="宋体"/>
        <family val="3"/>
        <charset val="134"/>
      </rPr>
      <t>工艺材料</t>
    </r>
    <phoneticPr fontId="2" type="noConversion"/>
  </si>
  <si>
    <r>
      <rPr>
        <sz val="11"/>
        <color theme="1"/>
        <rFont val="宋体"/>
        <family val="3"/>
        <charset val="134"/>
      </rPr>
      <t>污水总进水管</t>
    </r>
    <phoneticPr fontId="2" type="noConversion"/>
  </si>
  <si>
    <r>
      <rPr>
        <sz val="11"/>
        <color theme="1"/>
        <rFont val="宋体"/>
        <family val="3"/>
        <charset val="134"/>
      </rPr>
      <t>米</t>
    </r>
    <phoneticPr fontId="2" type="noConversion"/>
  </si>
  <si>
    <r>
      <rPr>
        <sz val="11"/>
        <color theme="1"/>
        <rFont val="宋体"/>
        <family val="3"/>
        <charset val="134"/>
      </rPr>
      <t>厂区污水进水管</t>
    </r>
    <phoneticPr fontId="2" type="noConversion"/>
  </si>
  <si>
    <r>
      <rPr>
        <sz val="11"/>
        <color theme="1"/>
        <rFont val="宋体"/>
        <family val="3"/>
        <charset val="134"/>
      </rPr>
      <t>电气设备</t>
    </r>
    <phoneticPr fontId="2" type="noConversion"/>
  </si>
  <si>
    <r>
      <rPr>
        <sz val="11"/>
        <color theme="1"/>
        <rFont val="宋体"/>
        <family val="3"/>
        <charset val="134"/>
      </rPr>
      <t>控制柜</t>
    </r>
    <phoneticPr fontId="2" type="noConversion"/>
  </si>
  <si>
    <r>
      <rPr>
        <sz val="11"/>
        <color theme="1"/>
        <rFont val="宋体"/>
        <family val="3"/>
        <charset val="134"/>
      </rPr>
      <t>仪表</t>
    </r>
    <phoneticPr fontId="2" type="noConversion"/>
  </si>
  <si>
    <r>
      <rPr>
        <sz val="11"/>
        <color theme="1"/>
        <rFont val="宋体"/>
        <family val="3"/>
        <charset val="134"/>
      </rPr>
      <t>超声波液位差计</t>
    </r>
    <phoneticPr fontId="2" type="noConversion"/>
  </si>
  <si>
    <r>
      <rPr>
        <sz val="11"/>
        <color theme="1"/>
        <rFont val="宋体"/>
        <family val="3"/>
        <charset val="134"/>
      </rPr>
      <t>台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</si>
  <si>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-2-X01A/B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</si>
  <si>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-2-X02A/B</t>
    </r>
    <phoneticPr fontId="2" type="noConversion"/>
  </si>
  <si>
    <r>
      <rPr>
        <sz val="10"/>
        <color theme="1"/>
        <rFont val="宋体"/>
        <family val="3"/>
        <charset val="134"/>
      </rPr>
      <t>钢丝绳牵引式粗格栅机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</si>
  <si>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-2-L01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</si>
  <si>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-2-V01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</si>
  <si>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-2-X03A/B</t>
    </r>
    <phoneticPr fontId="2" type="noConversion"/>
  </si>
  <si>
    <r>
      <rPr>
        <sz val="11"/>
        <color theme="1"/>
        <rFont val="宋体"/>
        <family val="3"/>
        <charset val="134"/>
      </rPr>
      <t>液位差计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</si>
  <si>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-3-X01A/B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</si>
  <si>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-3-X02A/B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</si>
  <si>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-3-L01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</si>
  <si>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-3-V01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</si>
  <si>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-3-X03A/B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</si>
  <si>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-4-X01A/B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</si>
  <si>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-4-X02A/B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</si>
  <si>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-4-L01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</si>
  <si>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-4-V01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</si>
  <si>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-4-X03A/B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</si>
  <si>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-5-X01A~C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</si>
  <si>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-5-X02A~C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</si>
  <si>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-5-L01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</si>
  <si>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-5-V01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</si>
  <si>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-5-X03A~C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</si>
  <si>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-6-X01A~C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</si>
  <si>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-6-X02A~C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</si>
  <si>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-6-L01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</si>
  <si>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-6-V01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</si>
  <si>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-6-X03A~C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</si>
  <si>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-4-X01A~D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</si>
  <si>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-4-X02A~D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</si>
  <si>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-4-X03A~D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</si>
  <si>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-5-X01A~D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</si>
  <si>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-5-X02A~D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</si>
  <si>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-5-X03A~D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</si>
  <si>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-6-X01A~D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</si>
  <si>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-6-X02A~D</t>
    </r>
    <phoneticPr fontId="2" type="noConversion"/>
  </si>
  <si>
    <r>
      <t>101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-6-X03A~D</t>
    </r>
    <phoneticPr fontId="2" type="noConversion"/>
  </si>
  <si>
    <t>充满度</t>
    <phoneticPr fontId="2" type="noConversion"/>
  </si>
  <si>
    <t>流速</t>
    <phoneticPr fontId="2" type="noConversion"/>
  </si>
  <si>
    <t>钢丝绳牵引式粗格栅机</t>
    <phoneticPr fontId="2" type="noConversion"/>
  </si>
  <si>
    <r>
      <rPr>
        <sz val="11"/>
        <color theme="1"/>
        <rFont val="宋体"/>
        <family val="1"/>
        <charset val="134"/>
      </rPr>
      <t>刚性防水套管（</t>
    </r>
    <r>
      <rPr>
        <sz val="11"/>
        <color theme="1"/>
        <rFont val="Times New Roman"/>
        <family val="1"/>
      </rPr>
      <t>A</t>
    </r>
    <r>
      <rPr>
        <sz val="11"/>
        <color theme="1"/>
        <rFont val="宋体"/>
        <family val="1"/>
        <charset val="134"/>
      </rPr>
      <t>型）</t>
    </r>
    <phoneticPr fontId="2" type="noConversion"/>
  </si>
  <si>
    <t>个</t>
    <phoneticPr fontId="2" type="noConversion"/>
  </si>
  <si>
    <t>DN1200 Q235A</t>
    <phoneticPr fontId="2" type="noConversion"/>
  </si>
  <si>
    <t>过水孔G1底部距池底高度</t>
    <phoneticPr fontId="2" type="noConversion"/>
  </si>
  <si>
    <t>进水井与格栅渠隔墙厚度</t>
    <phoneticPr fontId="2" type="noConversion"/>
  </si>
  <si>
    <t>格栅安装角度</t>
    <phoneticPr fontId="2" type="noConversion"/>
  </si>
  <si>
    <t>附壁式铸铁镶铜方闸门</t>
    <phoneticPr fontId="2" type="noConversion"/>
  </si>
  <si>
    <t>热浸锌钢盖板</t>
    <phoneticPr fontId="2" type="noConversion"/>
  </si>
  <si>
    <t>个</t>
    <phoneticPr fontId="2" type="noConversion"/>
  </si>
  <si>
    <t>一、设计输入</t>
    <phoneticPr fontId="26" type="noConversion"/>
  </si>
  <si>
    <t>二、判断性参数</t>
    <phoneticPr fontId="26" type="noConversion"/>
  </si>
  <si>
    <t>参数</t>
    <phoneticPr fontId="26" type="noConversion"/>
  </si>
  <si>
    <t>数值</t>
    <phoneticPr fontId="26" type="noConversion"/>
  </si>
  <si>
    <t>单位</t>
    <phoneticPr fontId="26" type="noConversion"/>
  </si>
  <si>
    <t>备注</t>
    <phoneticPr fontId="26" type="noConversion"/>
  </si>
  <si>
    <t>m3/d</t>
    <phoneticPr fontId="26" type="noConversion"/>
  </si>
  <si>
    <t>平均日流量</t>
    <phoneticPr fontId="26" type="noConversion"/>
  </si>
  <si>
    <t>L/s</t>
    <phoneticPr fontId="26" type="noConversion"/>
  </si>
  <si>
    <t>示例：</t>
    <phoneticPr fontId="26" type="noConversion"/>
  </si>
  <si>
    <t>必须输入参数</t>
    <phoneticPr fontId="26" type="noConversion"/>
  </si>
  <si>
    <t>总变化系数Kz</t>
    <phoneticPr fontId="26" type="noConversion"/>
  </si>
  <si>
    <t>谨慎调整参数</t>
    <phoneticPr fontId="26" type="noConversion"/>
  </si>
  <si>
    <t>可选型号</t>
    <phoneticPr fontId="26" type="noConversion"/>
  </si>
  <si>
    <t>报警</t>
    <phoneticPr fontId="26" type="noConversion"/>
  </si>
  <si>
    <t>最终型号</t>
    <phoneticPr fontId="26" type="noConversion"/>
  </si>
  <si>
    <t>渠道数量</t>
    <phoneticPr fontId="26" type="noConversion"/>
  </si>
  <si>
    <t>个</t>
    <phoneticPr fontId="26" type="noConversion"/>
  </si>
  <si>
    <t>MIN</t>
    <phoneticPr fontId="26" type="noConversion"/>
  </si>
  <si>
    <t>MAX</t>
    <phoneticPr fontId="26" type="noConversion"/>
  </si>
  <si>
    <t>栅前工作水深</t>
    <phoneticPr fontId="2" type="noConversion"/>
  </si>
  <si>
    <t>峰值流量过栅流速</t>
    <phoneticPr fontId="2" type="noConversion"/>
  </si>
  <si>
    <t>0.6~1.0m/s，《室外排水设计标准GB50014-2021》P47</t>
    <phoneticPr fontId="2" type="noConversion"/>
  </si>
  <si>
    <t>平均流量过栅流速</t>
    <phoneticPr fontId="2" type="noConversion"/>
  </si>
  <si>
    <t>峰值流量下一台设备检修时过栅流速</t>
    <phoneticPr fontId="2" type="noConversion"/>
  </si>
  <si>
    <t>栅后水深</t>
    <phoneticPr fontId="2" type="noConversion"/>
  </si>
  <si>
    <t>平均流量下一台设备检修时过栅流速</t>
    <phoneticPr fontId="2" type="noConversion"/>
  </si>
  <si>
    <t>格栅宽度</t>
    <phoneticPr fontId="2" type="noConversion"/>
  </si>
  <si>
    <t>m2</t>
    <phoneticPr fontId="26" type="noConversion"/>
  </si>
  <si>
    <t>格栅安装角度</t>
  </si>
  <si>
    <t>渠道超宽</t>
    <phoneticPr fontId="2" type="noConversion"/>
  </si>
  <si>
    <t>单格渠道宽度B</t>
    <phoneticPr fontId="2" type="noConversion"/>
  </si>
  <si>
    <t>渠道隔墙厚度d</t>
    <phoneticPr fontId="2" type="noConversion"/>
  </si>
  <si>
    <t>栅前闸门门体超高</t>
    <phoneticPr fontId="2" type="noConversion"/>
  </si>
  <si>
    <t>kW</t>
    <phoneticPr fontId="2" type="noConversion"/>
  </si>
  <si>
    <t>栅后闸门门体超高</t>
    <phoneticPr fontId="2" type="noConversion"/>
  </si>
  <si>
    <t>栅渣小车容积</t>
    <phoneticPr fontId="2" type="noConversion"/>
  </si>
  <si>
    <t>m3</t>
    <phoneticPr fontId="26" type="noConversion"/>
  </si>
  <si>
    <t>m/s</t>
    <phoneticPr fontId="26" type="noConversion"/>
  </si>
  <si>
    <t>mm</t>
    <phoneticPr fontId="26" type="noConversion"/>
  </si>
  <si>
    <t>三、设计输出</t>
    <phoneticPr fontId="26" type="noConversion"/>
  </si>
  <si>
    <t>物资信息编码</t>
    <phoneticPr fontId="2" type="noConversion"/>
  </si>
  <si>
    <t>物资类别</t>
    <phoneticPr fontId="2" type="noConversion"/>
  </si>
  <si>
    <t>类别</t>
  </si>
  <si>
    <t>规格及型号</t>
  </si>
  <si>
    <t>材质</t>
  </si>
  <si>
    <t>单位</t>
    <phoneticPr fontId="2" type="noConversion"/>
  </si>
  <si>
    <t>数量</t>
  </si>
  <si>
    <t>备注</t>
    <phoneticPr fontId="2" type="noConversion"/>
  </si>
  <si>
    <t>自定义型号</t>
    <phoneticPr fontId="4" type="noConversion"/>
  </si>
  <si>
    <t>物资信息编码</t>
  </si>
  <si>
    <t>物资类别</t>
  </si>
  <si>
    <t>名  称</t>
  </si>
  <si>
    <t>单 位</t>
  </si>
  <si>
    <t>备注</t>
  </si>
  <si>
    <t>工艺设备</t>
  </si>
  <si>
    <t>SS304</t>
    <phoneticPr fontId="2" type="noConversion"/>
  </si>
  <si>
    <t>台</t>
  </si>
  <si>
    <t>栅渣小车</t>
  </si>
  <si>
    <t>主体材质碳钢防腐</t>
    <phoneticPr fontId="2" type="noConversion"/>
  </si>
  <si>
    <t>工艺材料</t>
  </si>
  <si>
    <t>Q235A</t>
    <phoneticPr fontId="2" type="noConversion"/>
  </si>
  <si>
    <t>刚性防水套管（A型）</t>
  </si>
  <si>
    <t>个</t>
  </si>
  <si>
    <t>热浸锌钢盖板</t>
  </si>
  <si>
    <t>设备检修孔盖板</t>
  </si>
  <si>
    <t>电气设备</t>
  </si>
  <si>
    <t>仪表</t>
  </si>
  <si>
    <t>超声波液位差计</t>
  </si>
  <si>
    <t>总水量</t>
    <phoneticPr fontId="2" type="noConversion"/>
  </si>
  <si>
    <t>渠道数量</t>
    <phoneticPr fontId="2" type="noConversion"/>
  </si>
  <si>
    <t>流量10000</t>
  </si>
  <si>
    <t>流量15000</t>
  </si>
  <si>
    <t>流量20000</t>
  </si>
  <si>
    <t>流量25000</t>
  </si>
  <si>
    <t>流量30000</t>
  </si>
  <si>
    <t>流量35000</t>
  </si>
  <si>
    <t>流量40000</t>
  </si>
  <si>
    <t>流量45000</t>
  </si>
  <si>
    <t>流量50000</t>
  </si>
  <si>
    <t>流量55000</t>
  </si>
  <si>
    <t>流量60000</t>
  </si>
  <si>
    <t>流量65000</t>
  </si>
  <si>
    <t>流量70000</t>
  </si>
  <si>
    <t>流量75000</t>
  </si>
  <si>
    <t>流量80000</t>
  </si>
  <si>
    <t>流量85000</t>
  </si>
  <si>
    <t>流量90000</t>
  </si>
  <si>
    <t>流量95000</t>
  </si>
  <si>
    <t>流量100000</t>
  </si>
  <si>
    <t>流量110000</t>
  </si>
  <si>
    <t>流量120000</t>
  </si>
  <si>
    <t>流量130000</t>
  </si>
  <si>
    <t>流量140000</t>
  </si>
  <si>
    <t>流量150000</t>
  </si>
  <si>
    <t>流量160000</t>
  </si>
  <si>
    <t>流量170000</t>
  </si>
  <si>
    <t>流量180000</t>
  </si>
  <si>
    <t>流量190000</t>
  </si>
  <si>
    <t>流量200000</t>
  </si>
  <si>
    <t>功率kW</t>
    <phoneticPr fontId="2" type="noConversion"/>
  </si>
  <si>
    <t>综合生活污水量变化系数</t>
    <phoneticPr fontId="2" type="noConversion"/>
  </si>
  <si>
    <t>平均日流量（L/s）</t>
    <phoneticPr fontId="4" type="noConversion"/>
  </si>
  <si>
    <t>总变化系数
（GB50014-2021版）</t>
    <phoneticPr fontId="4" type="noConversion"/>
  </si>
  <si>
    <t>总变化系数
（GB50014-2016版）</t>
    <phoneticPr fontId="2" type="noConversion"/>
  </si>
  <si>
    <t>公称直径mm</t>
    <phoneticPr fontId="26" type="noConversion"/>
  </si>
  <si>
    <t>卷管外径mm</t>
    <phoneticPr fontId="26" type="noConversion"/>
  </si>
  <si>
    <t>壁厚（PN=1.0MPa）</t>
    <phoneticPr fontId="26" type="noConversion"/>
  </si>
  <si>
    <t>加工后外径mm</t>
    <phoneticPr fontId="26" type="noConversion"/>
  </si>
  <si>
    <t>壁厚</t>
    <phoneticPr fontId="26" type="noConversion"/>
  </si>
  <si>
    <t>GB/T 13663.2-2018</t>
    <phoneticPr fontId="2" type="noConversion"/>
  </si>
  <si>
    <t>公称外径</t>
    <phoneticPr fontId="2" type="noConversion"/>
  </si>
  <si>
    <t>公称直径</t>
    <phoneticPr fontId="2" type="noConversion"/>
  </si>
  <si>
    <t>壁厚（PN=1.0MPa）</t>
    <phoneticPr fontId="2" type="noConversion"/>
  </si>
  <si>
    <t>栅条间隙b</t>
    <phoneticPr fontId="2" type="noConversion"/>
  </si>
  <si>
    <t>栅条的间隙数n</t>
    <phoneticPr fontId="2" type="noConversion"/>
  </si>
  <si>
    <t>栅条宽度S</t>
    <phoneticPr fontId="2" type="noConversion"/>
  </si>
  <si>
    <t>进水井超过地面高度h1</t>
    <phoneticPr fontId="2" type="noConversion"/>
  </si>
  <si>
    <t>管底预留预埋件安装高度h2</t>
    <phoneticPr fontId="2" type="noConversion"/>
  </si>
  <si>
    <t>格栅渠净宽度</t>
    <phoneticPr fontId="2" type="noConversion"/>
  </si>
  <si>
    <t>污水总进水管管径d1</t>
    <phoneticPr fontId="26" type="noConversion"/>
  </si>
  <si>
    <t>污水总进水管管径d1</t>
    <phoneticPr fontId="2" type="noConversion"/>
  </si>
  <si>
    <t>过水孔G1底部距池顶高度</t>
    <phoneticPr fontId="2" type="noConversion"/>
  </si>
  <si>
    <t>格栅前过水孔G1宽</t>
  </si>
  <si>
    <t>格栅前过水孔G1宽</t>
    <phoneticPr fontId="2" type="noConversion"/>
  </si>
  <si>
    <t>格栅后过水孔G2宽</t>
  </si>
  <si>
    <t>格栅后过水孔G2宽</t>
    <phoneticPr fontId="2" type="noConversion"/>
  </si>
  <si>
    <t>过水孔G2底部距池顶高度</t>
    <phoneticPr fontId="2" type="noConversion"/>
  </si>
  <si>
    <t>无压圆管水力计算</t>
    <phoneticPr fontId="26" type="noConversion"/>
  </si>
  <si>
    <t>介质类别</t>
    <phoneticPr fontId="26" type="noConversion"/>
  </si>
  <si>
    <t>污水管道</t>
  </si>
  <si>
    <t>管道类别</t>
    <phoneticPr fontId="26" type="noConversion"/>
  </si>
  <si>
    <t>钢管</t>
  </si>
  <si>
    <t>管径</t>
    <phoneticPr fontId="26" type="noConversion"/>
  </si>
  <si>
    <t>d</t>
    <phoneticPr fontId="26" type="noConversion"/>
  </si>
  <si>
    <t>污水、雨水、合流最小300，雨水口连接管最小200</t>
    <phoneticPr fontId="26" type="noConversion"/>
  </si>
  <si>
    <t>m</t>
    <phoneticPr fontId="26" type="noConversion"/>
  </si>
  <si>
    <t>充满度</t>
    <phoneticPr fontId="26" type="noConversion"/>
  </si>
  <si>
    <r>
      <t>α=h/d=sin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(θ/4)</t>
    </r>
    <phoneticPr fontId="26" type="noConversion"/>
  </si>
  <si>
    <t>规范P28，最大设计充满度</t>
    <phoneticPr fontId="26" type="noConversion"/>
  </si>
  <si>
    <t>延伸思考：最大充满度是为平衡经济性和水量波动（安全性）而设。</t>
    <phoneticPr fontId="26" type="noConversion"/>
  </si>
  <si>
    <t>坡度</t>
    <phoneticPr fontId="26" type="noConversion"/>
  </si>
  <si>
    <t>i</t>
    <phoneticPr fontId="26" type="noConversion"/>
  </si>
  <si>
    <t>规范P30/127，参考最小设计坡度</t>
    <phoneticPr fontId="26" type="noConversion"/>
  </si>
  <si>
    <t>延伸思考：最小设计坡度是为在设计充满度下流速不低于不淤流速而设，并非硬性规定，只要流速达到即可。(有些手册对不同管径有不同的最小设计流速）</t>
    <phoneticPr fontId="26" type="noConversion"/>
  </si>
  <si>
    <t xml:space="preserve">粗糙系数 </t>
    <phoneticPr fontId="26" type="noConversion"/>
  </si>
  <si>
    <t>n</t>
    <phoneticPr fontId="26" type="noConversion"/>
  </si>
  <si>
    <t>规范P28</t>
    <phoneticPr fontId="26" type="noConversion"/>
  </si>
  <si>
    <t>充满角</t>
    <phoneticPr fontId="26" type="noConversion"/>
  </si>
  <si>
    <r>
      <t>θ=4arcsin(α</t>
    </r>
    <r>
      <rPr>
        <vertAlign val="superscript"/>
        <sz val="11"/>
        <color theme="1"/>
        <rFont val="Arial"/>
        <family val="2"/>
      </rPr>
      <t>1/2</t>
    </r>
    <r>
      <rPr>
        <sz val="11"/>
        <color theme="1"/>
        <rFont val="Arial"/>
        <family val="2"/>
      </rPr>
      <t>)</t>
    </r>
    <phoneticPr fontId="26" type="noConversion"/>
  </si>
  <si>
    <t>弧度</t>
    <phoneticPr fontId="26" type="noConversion"/>
  </si>
  <si>
    <t>过水面积</t>
    <phoneticPr fontId="26" type="noConversion"/>
  </si>
  <si>
    <r>
      <t>A=d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(θ-sinθ)/8</t>
    </r>
    <phoneticPr fontId="26" type="noConversion"/>
  </si>
  <si>
    <t>湿周</t>
    <phoneticPr fontId="26" type="noConversion"/>
  </si>
  <si>
    <t>P=dθ/2</t>
    <phoneticPr fontId="26" type="noConversion"/>
  </si>
  <si>
    <t>水力半径</t>
    <phoneticPr fontId="26" type="noConversion"/>
  </si>
  <si>
    <t>R=A/P=d(1-sinθ/θ)/4</t>
    <phoneticPr fontId="26" type="noConversion"/>
  </si>
  <si>
    <t>流速</t>
    <phoneticPr fontId="26" type="noConversion"/>
  </si>
  <si>
    <r>
      <t>v=R</t>
    </r>
    <r>
      <rPr>
        <vertAlign val="superscript"/>
        <sz val="11"/>
        <color theme="1"/>
        <rFont val="Arial"/>
        <family val="2"/>
      </rPr>
      <t>2/3</t>
    </r>
    <r>
      <rPr>
        <sz val="11"/>
        <color theme="1"/>
        <rFont val="Arial"/>
        <family val="2"/>
      </rPr>
      <t>i</t>
    </r>
    <r>
      <rPr>
        <vertAlign val="superscript"/>
        <sz val="11"/>
        <color theme="1"/>
        <rFont val="Arial"/>
        <family val="2"/>
      </rPr>
      <t>1/2</t>
    </r>
    <r>
      <rPr>
        <sz val="11"/>
        <color theme="1"/>
        <rFont val="Arial"/>
        <family val="2"/>
      </rPr>
      <t>/n=[d(1-sinθ/θ)/4]</t>
    </r>
    <r>
      <rPr>
        <vertAlign val="superscript"/>
        <sz val="11"/>
        <color theme="1"/>
        <rFont val="Arial"/>
        <family val="2"/>
      </rPr>
      <t>2/3</t>
    </r>
    <r>
      <rPr>
        <sz val="11"/>
        <color theme="1"/>
        <rFont val="Arial"/>
        <family val="2"/>
      </rPr>
      <t>i</t>
    </r>
    <r>
      <rPr>
        <vertAlign val="superscript"/>
        <sz val="11"/>
        <color theme="1"/>
        <rFont val="Arial"/>
        <family val="2"/>
      </rPr>
      <t>1/2</t>
    </r>
    <r>
      <rPr>
        <sz val="11"/>
        <color theme="1"/>
        <rFont val="Arial"/>
        <family val="2"/>
      </rPr>
      <t>/n</t>
    </r>
    <phoneticPr fontId="26" type="noConversion"/>
  </si>
  <si>
    <t>规范P29，最小设计流速（不淤流速）：污水0.6m/s，雨水、合流0.75m/s</t>
    <phoneticPr fontId="26" type="noConversion"/>
  </si>
  <si>
    <t>流量</t>
    <phoneticPr fontId="26" type="noConversion"/>
  </si>
  <si>
    <r>
      <t>Q=Av=d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(θ-sinθ)[d(1-sinθ/θ)/4]</t>
    </r>
    <r>
      <rPr>
        <vertAlign val="superscript"/>
        <sz val="11"/>
        <color theme="1"/>
        <rFont val="Arial"/>
        <family val="2"/>
      </rPr>
      <t>2/3</t>
    </r>
    <r>
      <rPr>
        <sz val="11"/>
        <color theme="1"/>
        <rFont val="Arial"/>
        <family val="2"/>
      </rPr>
      <t>i</t>
    </r>
    <r>
      <rPr>
        <vertAlign val="superscript"/>
        <sz val="11"/>
        <color theme="1"/>
        <rFont val="Arial"/>
        <family val="2"/>
      </rPr>
      <t>1/2</t>
    </r>
    <r>
      <rPr>
        <sz val="11"/>
        <color theme="1"/>
        <rFont val="Arial"/>
        <family val="2"/>
      </rPr>
      <t>/8n</t>
    </r>
    <phoneticPr fontId="26" type="noConversion"/>
  </si>
  <si>
    <t>m3/s</t>
    <phoneticPr fontId="26" type="noConversion"/>
  </si>
  <si>
    <t>规范P29，最大设计流速：金属管10m/s,非金属管5m/s</t>
    <phoneticPr fontId="26" type="noConversion"/>
  </si>
  <si>
    <t>m3/h</t>
    <phoneticPr fontId="26" type="noConversion"/>
  </si>
  <si>
    <t>排水管渠粗糙系数n （P28）</t>
    <phoneticPr fontId="26" type="noConversion"/>
  </si>
  <si>
    <t>管渠类别</t>
    <phoneticPr fontId="26" type="noConversion"/>
  </si>
  <si>
    <t>粗糙系数n</t>
    <phoneticPr fontId="26" type="noConversion"/>
  </si>
  <si>
    <t>本计算书取值</t>
    <phoneticPr fontId="26" type="noConversion"/>
  </si>
  <si>
    <t>0.009-0.010</t>
    <phoneticPr fontId="26" type="noConversion"/>
  </si>
  <si>
    <t>石棉水泥管</t>
    <phoneticPr fontId="26" type="noConversion"/>
  </si>
  <si>
    <t>钢管</t>
    <phoneticPr fontId="26" type="noConversion"/>
  </si>
  <si>
    <t>水泥砂浆内衬球墨铸铁管</t>
    <phoneticPr fontId="26" type="noConversion"/>
  </si>
  <si>
    <t>0.011-0.012</t>
    <phoneticPr fontId="26" type="noConversion"/>
  </si>
  <si>
    <t>0.013-0.014</t>
    <phoneticPr fontId="26" type="noConversion"/>
  </si>
  <si>
    <t>浆砌砖渠道</t>
    <phoneticPr fontId="26" type="noConversion"/>
  </si>
  <si>
    <t>浆砌块石渠道</t>
    <phoneticPr fontId="26" type="noConversion"/>
  </si>
  <si>
    <t>干砌块石渠道</t>
    <phoneticPr fontId="26" type="noConversion"/>
  </si>
  <si>
    <t>0.020-0.025</t>
    <phoneticPr fontId="26" type="noConversion"/>
  </si>
  <si>
    <t>土明渠（包括带草皮）</t>
    <phoneticPr fontId="26" type="noConversion"/>
  </si>
  <si>
    <t>0.025-0.030</t>
    <phoneticPr fontId="26" type="noConversion"/>
  </si>
  <si>
    <t>最大设计充满度  （P28）</t>
    <phoneticPr fontId="26" type="noConversion"/>
  </si>
  <si>
    <t>管径或渠高（mm）</t>
    <phoneticPr fontId="26" type="noConversion"/>
  </si>
  <si>
    <t>最大设计充满度</t>
    <phoneticPr fontId="26" type="noConversion"/>
  </si>
  <si>
    <t>最小设计坡度（钢筋混凝土管非满流） （P30、127）</t>
    <phoneticPr fontId="26" type="noConversion"/>
  </si>
  <si>
    <t>最小设计坡度</t>
    <phoneticPr fontId="26" type="noConversion"/>
  </si>
  <si>
    <t>最小设计流速</t>
    <phoneticPr fontId="26" type="noConversion"/>
  </si>
  <si>
    <t>污水管道</t>
    <phoneticPr fontId="26" type="noConversion"/>
  </si>
  <si>
    <t>设计充满度下</t>
    <phoneticPr fontId="26" type="noConversion"/>
  </si>
  <si>
    <t>雨水管道</t>
    <phoneticPr fontId="26" type="noConversion"/>
  </si>
  <si>
    <t>满流时</t>
    <phoneticPr fontId="26" type="noConversion"/>
  </si>
  <si>
    <t>合流管道</t>
    <phoneticPr fontId="26" type="noConversion"/>
  </si>
  <si>
    <t>明渠</t>
    <phoneticPr fontId="26" type="noConversion"/>
  </si>
  <si>
    <t>过栅水头损失</t>
    <phoneticPr fontId="2" type="noConversion"/>
  </si>
  <si>
    <t>峰值流量过洞流速</t>
    <phoneticPr fontId="2" type="noConversion"/>
  </si>
  <si>
    <t>平均流量过洞流速</t>
    <phoneticPr fontId="2" type="noConversion"/>
  </si>
  <si>
    <t>栅前闸门提升高度</t>
    <phoneticPr fontId="2" type="noConversion"/>
  </si>
  <si>
    <t>栅后闸门提升高度</t>
    <phoneticPr fontId="2" type="noConversion"/>
  </si>
  <si>
    <t>格栅前过水孔G1高</t>
    <phoneticPr fontId="2" type="noConversion"/>
  </si>
  <si>
    <t>格栅后过水孔G2高</t>
    <phoneticPr fontId="2" type="noConversion"/>
  </si>
  <si>
    <t>格栅类型</t>
    <phoneticPr fontId="2" type="noConversion"/>
  </si>
  <si>
    <t>回转式格栅除污机</t>
    <phoneticPr fontId="2" type="noConversion"/>
  </si>
  <si>
    <t>格栅机功率</t>
    <phoneticPr fontId="2" type="noConversion"/>
  </si>
  <si>
    <t>格栅类型</t>
    <phoneticPr fontId="26" type="noConversion"/>
  </si>
  <si>
    <t>皮带输送机</t>
  </si>
  <si>
    <t>控制柜</t>
  </si>
  <si>
    <t>测量精度：0-5m</t>
  </si>
  <si>
    <t>过水孔G2底部距池底高度</t>
    <phoneticPr fontId="2" type="noConversion"/>
  </si>
  <si>
    <t>皮带输送机宽度</t>
    <phoneticPr fontId="2" type="noConversion"/>
  </si>
  <si>
    <t>皮带输送机长度</t>
    <phoneticPr fontId="2" type="noConversion"/>
  </si>
  <si>
    <t>皮带输送机功率</t>
    <phoneticPr fontId="2" type="noConversion"/>
  </si>
  <si>
    <t>皮带输送机长度与格栅渠宽度偏差</t>
    <phoneticPr fontId="26" type="noConversion"/>
  </si>
  <si>
    <t>皮带上表面距平台高度</t>
    <phoneticPr fontId="26" type="noConversion"/>
  </si>
  <si>
    <t>附壁式铸铁镶铜方闸门</t>
    <phoneticPr fontId="26" type="noConversion"/>
  </si>
  <si>
    <t>焊接钢管</t>
    <phoneticPr fontId="26" type="noConversion"/>
  </si>
  <si>
    <t>室外排水设计标准（2021版）的相关规定</t>
    <phoneticPr fontId="26" type="noConversion"/>
  </si>
  <si>
    <t>格栅渠进水口闸门，配套手电两用启闭机</t>
  </si>
  <si>
    <t>与格栅机成套供货</t>
  </si>
  <si>
    <t>格栅渠出水口闸门，配套手电两用启闭机</t>
  </si>
  <si>
    <t>米</t>
  </si>
  <si>
    <t>厂区总进水管，通过进水检查井转换</t>
  </si>
  <si>
    <t>厂区内排水管，通过进水检查井转换</t>
  </si>
  <si>
    <t>格栅后闸门设备孔盖板</t>
  </si>
  <si>
    <t>格栅前设备孔盖板</t>
  </si>
  <si>
    <t>—</t>
  </si>
  <si>
    <t>安装位置在格栅渠前、后</t>
  </si>
  <si>
    <t>水下部分选取SS304不锈钢</t>
    <phoneticPr fontId="26" type="noConversion"/>
  </si>
  <si>
    <t>厂区排水进水管管径d2</t>
    <phoneticPr fontId="26" type="noConversion"/>
  </si>
  <si>
    <t>厂区排水进水管管径d2</t>
    <phoneticPr fontId="2" type="noConversion"/>
  </si>
  <si>
    <t>进水井长度L1</t>
    <phoneticPr fontId="2" type="noConversion"/>
  </si>
  <si>
    <t>进水井与格栅渠隔墙厚度</t>
    <phoneticPr fontId="26" type="noConversion"/>
  </si>
  <si>
    <t>格栅渠预留检修空间长度L2</t>
    <phoneticPr fontId="2" type="noConversion"/>
  </si>
  <si>
    <t>格栅渠预留检修空间长度L2</t>
    <phoneticPr fontId="26" type="noConversion"/>
  </si>
  <si>
    <t>格栅水平投影长度L3</t>
    <phoneticPr fontId="26" type="noConversion"/>
  </si>
  <si>
    <t>格栅顶部安装空间预留长度L4</t>
    <phoneticPr fontId="2" type="noConversion"/>
  </si>
  <si>
    <t>过水渠长L6</t>
    <phoneticPr fontId="26" type="noConversion"/>
  </si>
  <si>
    <t>过水渠长L6</t>
    <phoneticPr fontId="2" type="noConversion"/>
  </si>
  <si>
    <t>过水渠与格栅渠隔墙厚度</t>
    <phoneticPr fontId="26" type="noConversion"/>
  </si>
  <si>
    <t>过水渠与格栅渠隔墙厚度</t>
    <phoneticPr fontId="2" type="noConversion"/>
  </si>
  <si>
    <t>栅后电动附壁闸门功率</t>
    <phoneticPr fontId="26" type="noConversion"/>
  </si>
  <si>
    <t>栅后电动附壁闸门功率</t>
    <phoneticPr fontId="2" type="noConversion"/>
  </si>
  <si>
    <t>栅前电动附壁闸门功率</t>
    <phoneticPr fontId="2" type="noConversion"/>
  </si>
  <si>
    <r>
      <t>格栅间隙16~25mm时，0.10~0.05m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栅渣/10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m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污水；栅渣间隙30~50mm时，0.03~0.01m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栅渣/10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m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污水</t>
    </r>
    <phoneticPr fontId="26" type="noConversion"/>
  </si>
  <si>
    <t>设计栅渣量</t>
    <phoneticPr fontId="2" type="noConversion"/>
  </si>
  <si>
    <r>
      <t>m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/10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m</t>
    </r>
    <r>
      <rPr>
        <vertAlign val="superscript"/>
        <sz val="10"/>
        <color theme="1"/>
        <rFont val="微软雅黑"/>
        <family val="2"/>
        <charset val="134"/>
      </rPr>
      <t>3</t>
    </r>
    <r>
      <rPr>
        <sz val="10"/>
        <color theme="1"/>
        <rFont val="微软雅黑"/>
        <family val="2"/>
        <charset val="134"/>
      </rPr>
      <t>污水</t>
    </r>
    <phoneticPr fontId="2" type="noConversion"/>
  </si>
  <si>
    <t>每日栅渣量</t>
    <phoneticPr fontId="2" type="noConversion"/>
  </si>
  <si>
    <t>热浸锌钢盖板</t>
    <phoneticPr fontId="26" type="noConversion"/>
  </si>
  <si>
    <t>规格及型号</t>
    <phoneticPr fontId="26" type="noConversion"/>
  </si>
  <si>
    <t>规格及型号</t>
    <phoneticPr fontId="2" type="noConversion"/>
  </si>
  <si>
    <t>材质</t>
    <phoneticPr fontId="2" type="noConversion"/>
  </si>
  <si>
    <t>玻璃钢管</t>
    <phoneticPr fontId="2" type="noConversion"/>
  </si>
  <si>
    <t>PE管</t>
    <phoneticPr fontId="2" type="noConversion"/>
  </si>
  <si>
    <t>UPVC管</t>
    <phoneticPr fontId="26" type="noConversion"/>
  </si>
  <si>
    <t>水泥砂浆抹面渠道</t>
    <phoneticPr fontId="2" type="noConversion"/>
  </si>
  <si>
    <t>钢筋混凝土管</t>
    <phoneticPr fontId="2" type="noConversion"/>
  </si>
  <si>
    <t>混凝土管</t>
    <phoneticPr fontId="26" type="noConversion"/>
  </si>
  <si>
    <t>进水井宽度</t>
    <phoneticPr fontId="26" type="noConversion"/>
  </si>
  <si>
    <t>宽度B=600mm，长度L=3.5m，皮带上表面距平台高度1.0m（与格栅机配套），N=1.5kW</t>
  </si>
  <si>
    <t>有效容积0.25m3，主体材质碳钢防腐</t>
  </si>
  <si>
    <t>焊接钢管，D325×8</t>
  </si>
  <si>
    <t>DN900 Q235A</t>
  </si>
  <si>
    <t>DN300 Q235A</t>
  </si>
  <si>
    <t>1000×900mm</t>
  </si>
  <si>
    <t>测量范围：0-5m</t>
  </si>
  <si>
    <t>宽度B=600mm，长度L=3.9m，皮带上表面距平台高度1.0m（与格栅机配套），N=1.5kW</t>
  </si>
  <si>
    <t>DN1000 Q235A</t>
  </si>
  <si>
    <t>1000×1100mm</t>
  </si>
  <si>
    <t>宽度B=600mm，长度L=4.3m，皮带上表面距平台高度1.0m（与格栅机配套），N=1.5kW</t>
  </si>
  <si>
    <t>焊接钢管，D426×9</t>
  </si>
  <si>
    <t>DN400 Q235A</t>
  </si>
  <si>
    <t>1000×1300mm</t>
  </si>
  <si>
    <t>DN1200 Q235A</t>
  </si>
  <si>
    <t>DN500 Q235A</t>
  </si>
  <si>
    <t>宽度B=600mm，长度L=4.7m，皮带上表面距平台高度1.0m（与格栅机配套），N=1.5kW</t>
  </si>
  <si>
    <t>焊接钢管，D530×9</t>
  </si>
  <si>
    <t>1000×1500mm</t>
  </si>
  <si>
    <t>宽度B=600mm，长度L=5.6m，皮带上表面距平台高度1.0m（与格栅机配套），N=1.5kW</t>
  </si>
  <si>
    <t>DN1400 Q235A</t>
  </si>
  <si>
    <t>宽度B=600mm，长度L=6.2m，皮带上表面距平台高度1.0m（与格栅机配套），N=1.5kW</t>
  </si>
  <si>
    <t>焊接钢管，D630×9</t>
  </si>
  <si>
    <t>DN1500 Q235A</t>
  </si>
  <si>
    <t>DN600 Q235A</t>
  </si>
  <si>
    <t>有效容积0.5m3，主体材质碳钢防腐</t>
  </si>
  <si>
    <t>DN1600 Q235A</t>
  </si>
  <si>
    <t>DN1800 Q235A</t>
  </si>
  <si>
    <t>宽度B=600mm，长度L=8.1m，皮带上表面距平台高度1.0m（与格栅机配套），N=3kW</t>
  </si>
  <si>
    <t>DN800 Q235A</t>
  </si>
  <si>
    <t>宽度B=600mm，长度L=8.9m，皮带上表面距平台高度1.0m（与格栅机配套），N=3kW</t>
  </si>
  <si>
    <t>DN2000 Q235A</t>
  </si>
  <si>
    <t>进水井深度（渠深）H</t>
    <phoneticPr fontId="2" type="noConversion"/>
  </si>
  <si>
    <r>
      <rPr>
        <sz val="11"/>
        <color theme="1"/>
        <rFont val="宋体"/>
        <family val="3"/>
        <charset val="134"/>
      </rPr>
      <t>焊接钢管，</t>
    </r>
    <r>
      <rPr>
        <sz val="11"/>
        <color theme="1"/>
        <rFont val="Times New Roman"/>
        <family val="1"/>
      </rPr>
      <t>D920×10</t>
    </r>
    <r>
      <rPr>
        <sz val="11"/>
        <color theme="1"/>
        <rFont val="宋体"/>
        <family val="3"/>
        <charset val="134"/>
      </rPr>
      <t>（根据实际项目进行修改</t>
    </r>
    <r>
      <rPr>
        <sz val="11"/>
        <color theme="1"/>
        <rFont val="Times New Roman"/>
        <family val="1"/>
      </rPr>
      <t>)</t>
    </r>
    <phoneticPr fontId="2" type="noConversion"/>
  </si>
  <si>
    <t>进水端设备检修孔盖板</t>
    <phoneticPr fontId="26" type="noConversion"/>
  </si>
  <si>
    <t>3540×900mm</t>
  </si>
  <si>
    <t>3540×1100mm</t>
  </si>
  <si>
    <t>3540×1300mm</t>
  </si>
  <si>
    <t>3540×1500mm</t>
  </si>
  <si>
    <t>3540×1100mm</t>
    <phoneticPr fontId="2" type="noConversion"/>
  </si>
  <si>
    <t>3540×1300mm</t>
    <phoneticPr fontId="2" type="noConversion"/>
  </si>
  <si>
    <t>3540×1500mm</t>
    <phoneticPr fontId="2" type="noConversion"/>
  </si>
  <si>
    <t>1000×1400mm</t>
    <phoneticPr fontId="2" type="noConversion"/>
  </si>
  <si>
    <t>水下部分选取SS304不锈钢</t>
  </si>
  <si>
    <t>1000×1300mm</t>
    <phoneticPr fontId="2" type="noConversion"/>
  </si>
  <si>
    <t>1000×1200mm</t>
    <phoneticPr fontId="2" type="noConversion"/>
  </si>
  <si>
    <t>800×1200mm</t>
    <phoneticPr fontId="2" type="noConversion"/>
  </si>
  <si>
    <t>800×1100mm</t>
    <phoneticPr fontId="2" type="noConversion"/>
  </si>
  <si>
    <t>800×1000mm</t>
    <phoneticPr fontId="2" type="noConversion"/>
  </si>
  <si>
    <t>焊接钢管，D1020×10（根据实际项目进行修改)</t>
  </si>
  <si>
    <t>焊接钢管，D1220×12（根据实际项目进行修改)</t>
  </si>
  <si>
    <t>焊接钢管，D1220×10（根据实际项目进行修改)</t>
  </si>
  <si>
    <r>
      <rPr>
        <sz val="11"/>
        <color theme="1"/>
        <rFont val="宋体"/>
        <family val="3"/>
        <charset val="134"/>
      </rPr>
      <t>焊接钢管，</t>
    </r>
    <r>
      <rPr>
        <sz val="11"/>
        <color theme="1"/>
        <rFont val="Times New Roman"/>
        <family val="1"/>
      </rPr>
      <t>D1220×10</t>
    </r>
    <r>
      <rPr>
        <sz val="11"/>
        <color theme="1"/>
        <rFont val="宋体"/>
        <family val="3"/>
        <charset val="134"/>
      </rPr>
      <t>（根据实际项目进行修改</t>
    </r>
    <r>
      <rPr>
        <sz val="11"/>
        <color theme="1"/>
        <rFont val="Times New Roman"/>
        <family val="1"/>
      </rPr>
      <t>)</t>
    </r>
    <phoneticPr fontId="2" type="noConversion"/>
  </si>
  <si>
    <t>焊接钢管，D1420×11（根据实际项目进行修改)</t>
  </si>
  <si>
    <r>
      <rPr>
        <sz val="11"/>
        <color theme="1"/>
        <rFont val="宋体"/>
        <family val="3"/>
        <charset val="134"/>
      </rPr>
      <t>焊接钢管，</t>
    </r>
    <r>
      <rPr>
        <sz val="11"/>
        <color theme="1"/>
        <rFont val="Times New Roman"/>
        <family val="1"/>
      </rPr>
      <t>D530</t>
    </r>
    <r>
      <rPr>
        <sz val="11"/>
        <color theme="1"/>
        <rFont val="宋体"/>
        <family val="3"/>
        <charset val="134"/>
      </rPr>
      <t>×9</t>
    </r>
    <phoneticPr fontId="2" type="noConversion"/>
  </si>
  <si>
    <t>焊接钢管，D1620×12（根据实际项目进行修改)</t>
  </si>
  <si>
    <t>焊接钢管，D1820×14（根据实际项目进行修改)</t>
  </si>
  <si>
    <t>焊接钢管，D2020×14（根据实际项目进行修改)</t>
  </si>
  <si>
    <r>
      <rPr>
        <sz val="11"/>
        <color theme="1"/>
        <rFont val="宋体"/>
        <family val="3"/>
        <charset val="134"/>
      </rPr>
      <t>焊接钢管，</t>
    </r>
    <r>
      <rPr>
        <sz val="11"/>
        <color theme="1"/>
        <rFont val="Times New Roman"/>
        <family val="1"/>
      </rPr>
      <t>D820×10</t>
    </r>
    <phoneticPr fontId="2" type="noConversion"/>
  </si>
  <si>
    <t>Q/321100 2464 004-2019《北控水务集团有限公司企业标准 给排水工程用管道、管件及其防腐、保温》</t>
    <phoneticPr fontId="2" type="noConversion"/>
  </si>
  <si>
    <t>北控水务《城镇污水处理工程设计技术规定（试行版）》2017</t>
    <phoneticPr fontId="2" type="noConversion"/>
  </si>
  <si>
    <t>DN800 Q235A</t>
    <phoneticPr fontId="2" type="noConversion"/>
  </si>
  <si>
    <r>
      <t>60°</t>
    </r>
    <r>
      <rPr>
        <sz val="10"/>
        <color theme="1"/>
        <rFont val="Arial"/>
        <family val="2"/>
      </rPr>
      <t>~90</t>
    </r>
    <r>
      <rPr>
        <sz val="10"/>
        <color theme="1"/>
        <rFont val="微软雅黑"/>
        <family val="2"/>
        <charset val="134"/>
      </rPr>
      <t>°，《室外排水设计标准GB50014-2021》P47</t>
    </r>
    <phoneticPr fontId="26" type="noConversion"/>
  </si>
  <si>
    <t>0.4~0.9m/s，经验值</t>
    <phoneticPr fontId="2" type="noConversion"/>
  </si>
  <si>
    <t>m3</t>
    <phoneticPr fontId="2" type="noConversion"/>
  </si>
  <si>
    <t>进水井超过地面高度h1</t>
  </si>
  <si>
    <t>管底预留预埋件安装高度h2</t>
  </si>
  <si>
    <t>皮带输送机长度与格栅渠宽度偏差</t>
    <phoneticPr fontId="2" type="noConversion"/>
  </si>
  <si>
    <t>皮带上表面距平台高度</t>
    <phoneticPr fontId="2" type="noConversion"/>
  </si>
  <si>
    <t>型号</t>
    <phoneticPr fontId="2" type="noConversion"/>
  </si>
  <si>
    <t>过水断面面积</t>
    <phoneticPr fontId="26" type="noConversion"/>
  </si>
  <si>
    <t>管内水深</t>
    <phoneticPr fontId="26" type="noConversion"/>
  </si>
  <si>
    <t>进水管管底标高</t>
    <phoneticPr fontId="2" type="noConversion"/>
  </si>
  <si>
    <r>
      <rPr>
        <sz val="10"/>
        <color theme="1"/>
        <rFont val="宋体"/>
        <family val="3"/>
        <charset val="134"/>
      </rPr>
      <t>宽度</t>
    </r>
    <r>
      <rPr>
        <sz val="10"/>
        <color theme="1"/>
        <rFont val="Times New Roman"/>
        <family val="1"/>
      </rPr>
      <t>B=600mm</t>
    </r>
    <r>
      <rPr>
        <sz val="10"/>
        <color theme="1"/>
        <rFont val="宋体"/>
        <family val="3"/>
        <charset val="134"/>
      </rPr>
      <t>，长度</t>
    </r>
    <r>
      <rPr>
        <sz val="10"/>
        <color theme="1"/>
        <rFont val="Times New Roman"/>
        <family val="1"/>
      </rPr>
      <t>L=6.2m</t>
    </r>
    <r>
      <rPr>
        <sz val="10"/>
        <color theme="1"/>
        <rFont val="宋体"/>
        <family val="3"/>
        <charset val="134"/>
      </rPr>
      <t>，皮带上表面距平台高度</t>
    </r>
    <r>
      <rPr>
        <sz val="10"/>
        <color theme="1"/>
        <rFont val="Times New Roman"/>
        <family val="1"/>
      </rPr>
      <t>1.0m</t>
    </r>
    <r>
      <rPr>
        <sz val="10"/>
        <color theme="1"/>
        <rFont val="宋体"/>
        <family val="3"/>
        <charset val="134"/>
      </rPr>
      <t>（与格栅机配套），</t>
    </r>
    <r>
      <rPr>
        <sz val="10"/>
        <color theme="1"/>
        <rFont val="Times New Roman"/>
        <family val="1"/>
      </rPr>
      <t>N=1.5kW</t>
    </r>
    <phoneticPr fontId="2" type="noConversion"/>
  </si>
  <si>
    <r>
      <rPr>
        <sz val="10"/>
        <color theme="1"/>
        <rFont val="宋体"/>
        <family val="3"/>
        <charset val="134"/>
      </rPr>
      <t>宽度</t>
    </r>
    <r>
      <rPr>
        <sz val="10"/>
        <color theme="1"/>
        <rFont val="Times New Roman"/>
        <family val="1"/>
      </rPr>
      <t>B=600mm</t>
    </r>
    <r>
      <rPr>
        <sz val="10"/>
        <color theme="1"/>
        <rFont val="宋体"/>
        <family val="3"/>
        <charset val="134"/>
      </rPr>
      <t>，长度</t>
    </r>
    <r>
      <rPr>
        <sz val="10"/>
        <color theme="1"/>
        <rFont val="Times New Roman"/>
        <family val="1"/>
      </rPr>
      <t>L=6.8m</t>
    </r>
    <r>
      <rPr>
        <sz val="10"/>
        <color theme="1"/>
        <rFont val="宋体"/>
        <family val="3"/>
        <charset val="134"/>
      </rPr>
      <t>，皮带上表面距平台高度</t>
    </r>
    <r>
      <rPr>
        <sz val="10"/>
        <color theme="1"/>
        <rFont val="Times New Roman"/>
        <family val="1"/>
      </rPr>
      <t>1.0m</t>
    </r>
    <r>
      <rPr>
        <sz val="10"/>
        <color theme="1"/>
        <rFont val="宋体"/>
        <family val="3"/>
        <charset val="134"/>
      </rPr>
      <t>（与格栅机配套），</t>
    </r>
    <r>
      <rPr>
        <sz val="10"/>
        <color theme="1"/>
        <rFont val="Times New Roman"/>
        <family val="1"/>
      </rPr>
      <t>N=1.5kW</t>
    </r>
    <phoneticPr fontId="2" type="noConversion"/>
  </si>
  <si>
    <t>污水总进水管中心距离右侧墙壁距离</t>
    <phoneticPr fontId="26" type="noConversion"/>
  </si>
  <si>
    <t>m</t>
    <phoneticPr fontId="26" type="noConversion"/>
  </si>
  <si>
    <t>厂区排水进水管中心距离右侧墙壁距离</t>
    <phoneticPr fontId="26" type="noConversion"/>
  </si>
  <si>
    <t>格栅渠边墙厚度</t>
    <phoneticPr fontId="26" type="noConversion"/>
  </si>
  <si>
    <t>m</t>
    <phoneticPr fontId="26" type="noConversion"/>
  </si>
  <si>
    <t>格栅渠边墙厚度</t>
    <phoneticPr fontId="2" type="noConversion"/>
  </si>
  <si>
    <t>进水管管底埋深M</t>
    <phoneticPr fontId="26" type="noConversion"/>
  </si>
  <si>
    <t>m</t>
    <phoneticPr fontId="26" type="noConversion"/>
  </si>
  <si>
    <t>进水提升泵房集水池长</t>
    <phoneticPr fontId="26" type="noConversion"/>
  </si>
  <si>
    <t>m</t>
    <phoneticPr fontId="26" type="noConversion"/>
  </si>
  <si>
    <t>格栅后预留空间预设长度L5'</t>
    <phoneticPr fontId="26" type="noConversion"/>
  </si>
  <si>
    <t>格栅后预留空间预设长度L5'</t>
    <phoneticPr fontId="2" type="noConversion"/>
  </si>
  <si>
    <t>预设总长</t>
    <phoneticPr fontId="26" type="noConversion"/>
  </si>
  <si>
    <t>实际总长</t>
    <phoneticPr fontId="26" type="noConversion"/>
  </si>
  <si>
    <t>格栅后预留空间实际长度L5</t>
    <phoneticPr fontId="26" type="noConversion"/>
  </si>
  <si>
    <t>#设计参数</t>
    <phoneticPr fontId="26" type="noConversion"/>
  </si>
  <si>
    <t>#尺寸</t>
    <phoneticPr fontId="26" type="noConversion"/>
  </si>
  <si>
    <t>#栅渣量计算</t>
    <phoneticPr fontId="26" type="noConversion"/>
  </si>
  <si>
    <t>#设备选型计算</t>
    <phoneticPr fontId="26" type="noConversion"/>
  </si>
  <si>
    <t>#管道管径</t>
    <phoneticPr fontId="26" type="noConversion"/>
  </si>
  <si>
    <t>#尺寸：</t>
    <phoneticPr fontId="26" type="noConversion"/>
  </si>
  <si>
    <t>设计流量Q</t>
    <phoneticPr fontId="26" type="noConversion"/>
  </si>
  <si>
    <t>#TABLE#设备配置清单（按模块型号匹配）：</t>
    <phoneticPr fontId="26" type="noConversion"/>
  </si>
  <si>
    <t>#TABLE#设备配置清单（自定义）：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</si>
</sst>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_ "/>
    <numFmt numFmtId="178" formatCode="0_ "/>
    <numFmt numFmtId="179" formatCode="0.000_ "/>
    <numFmt numFmtId="180" formatCode="0_);[Red]\(0\)"/>
    <numFmt numFmtId="181" formatCode="0.000_);[Red]\(0.000\)"/>
    <numFmt numFmtId="182" formatCode="0.0000_ "/>
  </numFmts>
  <fonts count="46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Times New Roman"/>
      <family val="3"/>
      <charset val="134"/>
    </font>
    <font>
      <sz val="11"/>
      <color theme="1"/>
      <name val="宋体"/>
      <family val="1"/>
      <charset val="134"/>
    </font>
    <font>
      <sz val="11"/>
      <color theme="1"/>
      <name val="Microsoft YaHei Light"/>
      <family val="2"/>
      <charset val="134"/>
    </font>
    <font>
      <sz val="10"/>
      <color theme="1"/>
      <name val="Times New Roman"/>
      <family val="1"/>
    </font>
    <font>
      <sz val="10"/>
      <color theme="1"/>
      <name val="宋体"/>
      <family val="3"/>
      <charset val="134"/>
    </font>
    <font>
      <b/>
      <sz val="11"/>
      <color theme="1"/>
      <name val="Microsoft YaHei Light"/>
      <family val="2"/>
      <charset val="134"/>
    </font>
    <font>
      <b/>
      <sz val="10"/>
      <color theme="1"/>
      <name val="Times New Roman"/>
      <family val="1"/>
    </font>
    <font>
      <sz val="11"/>
      <color theme="1"/>
      <name val="Times New Roman"/>
      <family val="1"/>
      <charset val="134"/>
    </font>
    <font>
      <b/>
      <sz val="10"/>
      <color theme="1"/>
      <name val="宋体"/>
      <family val="3"/>
      <charset val="134"/>
    </font>
    <font>
      <sz val="10"/>
      <color theme="1"/>
      <name val="Times New Roman"/>
      <family val="3"/>
      <charset val="134"/>
    </font>
    <font>
      <b/>
      <sz val="11"/>
      <color theme="1"/>
      <name val="微软雅黑"/>
      <family val="3"/>
      <charset val="134"/>
    </font>
    <font>
      <b/>
      <sz val="10"/>
      <color theme="1"/>
      <name val="微软雅黑"/>
      <family val="3"/>
      <charset val="134"/>
    </font>
    <font>
      <b/>
      <sz val="10"/>
      <color theme="1"/>
      <name val="宋体"/>
      <family val="1"/>
      <charset val="134"/>
    </font>
    <font>
      <sz val="11"/>
      <color theme="1"/>
      <name val="等线"/>
      <family val="2"/>
      <charset val="134"/>
      <scheme val="minor"/>
    </font>
    <font>
      <b/>
      <sz val="12"/>
      <color theme="0"/>
      <name val="微软雅黑"/>
      <family val="2"/>
      <charset val="134"/>
    </font>
    <font>
      <sz val="9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1"/>
      <color theme="5"/>
      <name val="微软雅黑"/>
      <family val="2"/>
      <charset val="134"/>
    </font>
    <font>
      <sz val="10"/>
      <color theme="5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theme="5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Arial"/>
      <family val="2"/>
    </font>
    <font>
      <sz val="12"/>
      <name val="微软雅黑"/>
      <family val="2"/>
      <charset val="134"/>
    </font>
    <font>
      <sz val="16"/>
      <color theme="1"/>
      <name val="华文新魏"/>
      <family val="3"/>
      <charset val="134"/>
    </font>
    <font>
      <vertAlign val="superscript"/>
      <sz val="11"/>
      <color theme="1"/>
      <name val="Arial"/>
      <family val="2"/>
    </font>
    <font>
      <sz val="11"/>
      <name val="等线"/>
      <family val="2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theme="1"/>
      <name val="Arial"/>
      <family val="2"/>
    </font>
    <font>
      <vertAlign val="superscript"/>
      <sz val="10"/>
      <color theme="1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0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 style="hair">
        <color indexed="64"/>
      </right>
      <top/>
      <bottom style="double">
        <color theme="1" tint="0.499984740745262"/>
      </bottom>
      <diagonal/>
    </border>
    <border>
      <left/>
      <right style="thin">
        <color indexed="64"/>
      </right>
      <top/>
      <bottom style="double">
        <color theme="1" tint="0.499984740745262"/>
      </bottom>
      <diagonal/>
    </border>
    <border>
      <left style="thin">
        <color indexed="64"/>
      </left>
      <right/>
      <top style="double">
        <color theme="1" tint="0.499984740745262"/>
      </top>
      <bottom style="hair">
        <color indexed="64"/>
      </bottom>
      <diagonal/>
    </border>
    <border>
      <left/>
      <right/>
      <top style="double">
        <color theme="1" tint="0.499984740745262"/>
      </top>
      <bottom style="hair">
        <color indexed="64"/>
      </bottom>
      <diagonal/>
    </border>
    <border>
      <left/>
      <right style="hair">
        <color indexed="64"/>
      </right>
      <top style="double">
        <color theme="1" tint="0.499984740745262"/>
      </top>
      <bottom style="hair">
        <color indexed="64"/>
      </bottom>
      <diagonal/>
    </border>
    <border>
      <left/>
      <right style="thin">
        <color indexed="64"/>
      </right>
      <top style="double">
        <color theme="1" tint="0.499984740745262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theme="1" tint="0.499984740745262"/>
      </bottom>
      <diagonal/>
    </border>
    <border>
      <left/>
      <right/>
      <top style="hair">
        <color indexed="64"/>
      </top>
      <bottom style="double">
        <color theme="1" tint="0.499984740745262"/>
      </bottom>
      <diagonal/>
    </border>
    <border>
      <left/>
      <right style="hair">
        <color indexed="64"/>
      </right>
      <top style="hair">
        <color indexed="64"/>
      </top>
      <bottom style="double">
        <color theme="1" tint="0.499984740745262"/>
      </bottom>
      <diagonal/>
    </border>
    <border>
      <left/>
      <right style="thin">
        <color indexed="64"/>
      </right>
      <top style="hair">
        <color indexed="64"/>
      </top>
      <bottom style="double">
        <color theme="1" tint="0.499984740745262"/>
      </bottom>
      <diagonal/>
    </border>
    <border>
      <left style="thin">
        <color indexed="64"/>
      </left>
      <right/>
      <top style="double">
        <color theme="1" tint="0.499984740745262"/>
      </top>
      <bottom style="double">
        <color theme="1" tint="0.499984740745262"/>
      </bottom>
      <diagonal/>
    </border>
    <border>
      <left/>
      <right/>
      <top style="double">
        <color theme="1" tint="0.499984740745262"/>
      </top>
      <bottom style="double">
        <color theme="1" tint="0.499984740745262"/>
      </bottom>
      <diagonal/>
    </border>
    <border>
      <left/>
      <right style="hair">
        <color indexed="64"/>
      </right>
      <top style="double">
        <color theme="1" tint="0.499984740745262"/>
      </top>
      <bottom style="double">
        <color theme="1" tint="0.499984740745262"/>
      </bottom>
      <diagonal/>
    </border>
    <border>
      <left/>
      <right style="thin">
        <color indexed="64"/>
      </right>
      <top style="double">
        <color theme="1" tint="0.499984740745262"/>
      </top>
      <bottom style="double">
        <color theme="1" tint="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double">
        <color theme="1" tint="0.499984740745262"/>
      </top>
      <bottom style="thin">
        <color indexed="64"/>
      </bottom>
      <diagonal/>
    </border>
    <border>
      <left/>
      <right/>
      <top style="double">
        <color theme="1" tint="0.499984740745262"/>
      </top>
      <bottom style="thin">
        <color indexed="64"/>
      </bottom>
      <diagonal/>
    </border>
    <border>
      <left style="hair">
        <color indexed="64"/>
      </left>
      <right/>
      <top style="double">
        <color theme="1" tint="0.499984740745262"/>
      </top>
      <bottom style="thin">
        <color indexed="64"/>
      </bottom>
      <diagonal/>
    </border>
    <border>
      <left/>
      <right style="hair">
        <color indexed="64"/>
      </right>
      <top style="double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double">
        <color theme="1" tint="0.49998474074526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6">
    <xf numFmtId="0" fontId="0" fillId="0" borderId="0"/>
    <xf numFmtId="0" fontId="5" fillId="0" borderId="0">
      <alignment vertical="center"/>
    </xf>
    <xf numFmtId="0" fontId="24" fillId="0" borderId="0">
      <alignment vertical="center"/>
    </xf>
    <xf numFmtId="0" fontId="1" fillId="0" borderId="0"/>
    <xf numFmtId="0" fontId="1" fillId="0" borderId="0"/>
    <xf numFmtId="0" fontId="6" fillId="0" borderId="0">
      <alignment vertical="center"/>
    </xf>
  </cellStyleXfs>
  <cellXfs count="256">
    <xf numFmtId="0" fontId="0" fillId="0" borderId="0" xfId="0"/>
    <xf numFmtId="0" fontId="7" fillId="0" borderId="1" xfId="0" applyFont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8" fillId="0" borderId="1" xfId="0" applyFont="1" applyBorder="1"/>
    <xf numFmtId="0" fontId="14" fillId="0" borderId="1" xfId="1" applyFont="1" applyFill="1" applyBorder="1" applyAlignment="1">
      <alignment horizontal="left" vertical="center" wrapText="1"/>
    </xf>
    <xf numFmtId="0" fontId="14" fillId="0" borderId="1" xfId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7" fillId="0" borderId="0" xfId="0" applyFont="1"/>
    <xf numFmtId="0" fontId="7" fillId="0" borderId="1" xfId="0" applyFont="1" applyBorder="1"/>
    <xf numFmtId="0" fontId="17" fillId="0" borderId="1" xfId="1" applyFont="1" applyBorder="1" applyAlignment="1">
      <alignment horizontal="center" vertical="center"/>
    </xf>
    <xf numFmtId="0" fontId="16" fillId="0" borderId="0" xfId="0" applyFont="1"/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wrapText="1"/>
    </xf>
    <xf numFmtId="0" fontId="20" fillId="0" borderId="1" xfId="1" applyFont="1" applyFill="1" applyBorder="1" applyAlignment="1">
      <alignment horizontal="left" vertical="center" wrapText="1"/>
    </xf>
    <xf numFmtId="0" fontId="11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0" xfId="1" applyFont="1" applyBorder="1" applyAlignment="1">
      <alignment horizontal="center" vertical="center"/>
    </xf>
    <xf numFmtId="0" fontId="23" fillId="0" borderId="1" xfId="1" applyFont="1" applyFill="1" applyBorder="1" applyAlignment="1">
      <alignment horizontal="center" vertical="center"/>
    </xf>
    <xf numFmtId="0" fontId="18" fillId="0" borderId="1" xfId="0" applyFont="1" applyBorder="1"/>
    <xf numFmtId="0" fontId="12" fillId="0" borderId="1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7" fillId="0" borderId="0" xfId="1" applyFont="1" applyBorder="1" applyAlignment="1">
      <alignment horizontal="center" vertical="center"/>
    </xf>
    <xf numFmtId="0" fontId="14" fillId="0" borderId="5" xfId="1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8" fillId="0" borderId="5" xfId="0" applyFont="1" applyBorder="1"/>
    <xf numFmtId="0" fontId="15" fillId="0" borderId="5" xfId="1" applyFont="1" applyFill="1" applyBorder="1" applyAlignment="1">
      <alignment horizontal="center" vertical="center" wrapText="1"/>
    </xf>
    <xf numFmtId="0" fontId="12" fillId="0" borderId="5" xfId="0" applyFont="1" applyBorder="1"/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2" fillId="0" borderId="1" xfId="0" applyFont="1" applyBorder="1" applyAlignment="1">
      <alignment horizontal="left"/>
    </xf>
    <xf numFmtId="0" fontId="27" fillId="0" borderId="0" xfId="2" applyFont="1" applyAlignment="1">
      <alignment vertical="center" wrapText="1"/>
    </xf>
    <xf numFmtId="0" fontId="29" fillId="0" borderId="15" xfId="2" applyFont="1" applyBorder="1" applyAlignment="1">
      <alignment horizontal="center" vertical="center" wrapText="1"/>
    </xf>
    <xf numFmtId="0" fontId="29" fillId="0" borderId="16" xfId="2" applyFont="1" applyBorder="1" applyAlignment="1">
      <alignment horizontal="center" vertical="center" wrapText="1"/>
    </xf>
    <xf numFmtId="0" fontId="29" fillId="0" borderId="17" xfId="2" applyFont="1" applyBorder="1" applyAlignment="1">
      <alignment horizontal="center" vertical="center" wrapText="1"/>
    </xf>
    <xf numFmtId="0" fontId="28" fillId="0" borderId="0" xfId="2" applyFont="1" applyAlignment="1">
      <alignment horizontal="left" vertical="center" wrapText="1"/>
    </xf>
    <xf numFmtId="0" fontId="28" fillId="0" borderId="11" xfId="2" applyFont="1" applyBorder="1" applyAlignment="1">
      <alignment horizontal="left" vertical="center" wrapText="1"/>
    </xf>
    <xf numFmtId="0" fontId="30" fillId="0" borderId="18" xfId="2" applyFont="1" applyBorder="1" applyAlignment="1">
      <alignment vertical="center" wrapText="1"/>
    </xf>
    <xf numFmtId="0" fontId="31" fillId="4" borderId="16" xfId="2" applyFont="1" applyFill="1" applyBorder="1" applyAlignment="1">
      <alignment horizontal="right" vertical="center" wrapText="1"/>
    </xf>
    <xf numFmtId="177" fontId="27" fillId="0" borderId="19" xfId="2" applyNumberFormat="1" applyFont="1" applyBorder="1" applyAlignment="1">
      <alignment vertical="center" wrapText="1"/>
    </xf>
    <xf numFmtId="0" fontId="27" fillId="0" borderId="19" xfId="2" applyFont="1" applyBorder="1" applyAlignment="1">
      <alignment vertical="center" wrapText="1"/>
    </xf>
    <xf numFmtId="0" fontId="27" fillId="0" borderId="20" xfId="2" applyFont="1" applyBorder="1" applyAlignment="1">
      <alignment vertical="center" wrapText="1"/>
    </xf>
    <xf numFmtId="0" fontId="27" fillId="0" borderId="11" xfId="2" applyFont="1" applyBorder="1" applyAlignment="1">
      <alignment vertical="center" wrapText="1"/>
    </xf>
    <xf numFmtId="0" fontId="30" fillId="0" borderId="10" xfId="2" applyFont="1" applyBorder="1" applyAlignment="1">
      <alignment vertical="center" wrapText="1"/>
    </xf>
    <xf numFmtId="177" fontId="27" fillId="0" borderId="16" xfId="2" applyNumberFormat="1" applyFont="1" applyBorder="1" applyAlignment="1">
      <alignment vertical="center" wrapText="1"/>
    </xf>
    <xf numFmtId="177" fontId="27" fillId="0" borderId="0" xfId="2" applyNumberFormat="1" applyFont="1" applyAlignment="1">
      <alignment vertical="center" wrapText="1"/>
    </xf>
    <xf numFmtId="0" fontId="27" fillId="0" borderId="21" xfId="2" applyFont="1" applyBorder="1" applyAlignment="1">
      <alignment horizontal="right" vertical="center" wrapText="1"/>
    </xf>
    <xf numFmtId="0" fontId="27" fillId="0" borderId="21" xfId="2" applyFont="1" applyBorder="1" applyAlignment="1">
      <alignment vertical="center" wrapText="1"/>
    </xf>
    <xf numFmtId="0" fontId="30" fillId="0" borderId="22" xfId="2" applyFont="1" applyBorder="1" applyAlignment="1">
      <alignment horizontal="left" vertical="center" wrapText="1"/>
    </xf>
    <xf numFmtId="177" fontId="27" fillId="0" borderId="23" xfId="2" applyNumberFormat="1" applyFont="1" applyBorder="1" applyAlignment="1">
      <alignment vertical="center" wrapText="1"/>
    </xf>
    <xf numFmtId="0" fontId="27" fillId="0" borderId="23" xfId="2" applyFont="1" applyBorder="1" applyAlignment="1">
      <alignment vertical="center" wrapText="1"/>
    </xf>
    <xf numFmtId="179" fontId="27" fillId="0" borderId="24" xfId="2" applyNumberFormat="1" applyFont="1" applyBorder="1" applyAlignment="1">
      <alignment horizontal="center" vertical="center" wrapText="1"/>
    </xf>
    <xf numFmtId="177" fontId="33" fillId="0" borderId="19" xfId="2" applyNumberFormat="1" applyFont="1" applyBorder="1" applyAlignment="1">
      <alignment horizontal="right" vertical="center" wrapText="1"/>
    </xf>
    <xf numFmtId="177" fontId="27" fillId="0" borderId="19" xfId="2" applyNumberFormat="1" applyFont="1" applyBorder="1" applyAlignment="1">
      <alignment horizontal="right" vertical="center" wrapText="1"/>
    </xf>
    <xf numFmtId="0" fontId="27" fillId="0" borderId="17" xfId="2" applyFont="1" applyBorder="1" applyAlignment="1">
      <alignment vertical="center" wrapText="1"/>
    </xf>
    <xf numFmtId="178" fontId="32" fillId="5" borderId="19" xfId="2" applyNumberFormat="1" applyFont="1" applyFill="1" applyBorder="1" applyAlignment="1">
      <alignment horizontal="right" vertical="center" wrapText="1"/>
    </xf>
    <xf numFmtId="0" fontId="32" fillId="0" borderId="25" xfId="2" applyFont="1" applyBorder="1" applyAlignment="1">
      <alignment horizontal="center" vertical="center" wrapText="1"/>
    </xf>
    <xf numFmtId="0" fontId="32" fillId="0" borderId="26" xfId="2" applyFont="1" applyBorder="1" applyAlignment="1">
      <alignment horizontal="center" vertical="center" wrapText="1"/>
    </xf>
    <xf numFmtId="0" fontId="30" fillId="0" borderId="0" xfId="2" applyFont="1" applyAlignment="1">
      <alignment horizontal="center" vertical="center" wrapText="1"/>
    </xf>
    <xf numFmtId="0" fontId="30" fillId="0" borderId="15" xfId="2" applyFont="1" applyBorder="1" applyAlignment="1">
      <alignment vertical="center" wrapText="1"/>
    </xf>
    <xf numFmtId="177" fontId="32" fillId="5" borderId="19" xfId="2" applyNumberFormat="1" applyFont="1" applyFill="1" applyBorder="1" applyAlignment="1">
      <alignment horizontal="right" vertical="center" wrapText="1"/>
    </xf>
    <xf numFmtId="0" fontId="27" fillId="0" borderId="16" xfId="2" applyFont="1" applyBorder="1" applyAlignment="1">
      <alignment vertical="center" wrapText="1"/>
    </xf>
    <xf numFmtId="0" fontId="30" fillId="0" borderId="16" xfId="2" applyFont="1" applyBorder="1" applyAlignment="1">
      <alignment vertical="center" wrapText="1"/>
    </xf>
    <xf numFmtId="0" fontId="27" fillId="0" borderId="16" xfId="2" applyFont="1" applyBorder="1" applyAlignment="1">
      <alignment horizontal="left" vertical="center" wrapText="1"/>
    </xf>
    <xf numFmtId="0" fontId="27" fillId="0" borderId="25" xfId="2" applyFont="1" applyBorder="1" applyAlignment="1">
      <alignment horizontal="center" vertical="center" wrapText="1"/>
    </xf>
    <xf numFmtId="0" fontId="27" fillId="0" borderId="26" xfId="2" applyFont="1" applyBorder="1" applyAlignment="1">
      <alignment horizontal="center" vertical="center" wrapText="1"/>
    </xf>
    <xf numFmtId="0" fontId="30" fillId="0" borderId="29" xfId="2" applyFont="1" applyBorder="1" applyAlignment="1">
      <alignment vertical="center" wrapText="1"/>
    </xf>
    <xf numFmtId="0" fontId="27" fillId="0" borderId="30" xfId="2" applyFont="1" applyBorder="1" applyAlignment="1">
      <alignment vertical="center" wrapText="1"/>
    </xf>
    <xf numFmtId="0" fontId="27" fillId="0" borderId="26" xfId="2" applyFont="1" applyBorder="1" applyAlignment="1">
      <alignment vertical="center" wrapText="1"/>
    </xf>
    <xf numFmtId="179" fontId="27" fillId="0" borderId="19" xfId="2" applyNumberFormat="1" applyFont="1" applyBorder="1" applyAlignment="1">
      <alignment vertical="center" wrapText="1"/>
    </xf>
    <xf numFmtId="179" fontId="27" fillId="0" borderId="16" xfId="2" applyNumberFormat="1" applyFont="1" applyBorder="1" applyAlignment="1">
      <alignment vertical="center" wrapText="1"/>
    </xf>
    <xf numFmtId="0" fontId="27" fillId="0" borderId="29" xfId="2" applyFont="1" applyBorder="1" applyAlignment="1">
      <alignment horizontal="center" vertical="center" wrapText="1"/>
    </xf>
    <xf numFmtId="0" fontId="27" fillId="0" borderId="30" xfId="2" applyFont="1" applyBorder="1" applyAlignment="1">
      <alignment horizontal="center" vertical="center" wrapText="1"/>
    </xf>
    <xf numFmtId="0" fontId="30" fillId="0" borderId="31" xfId="2" applyFont="1" applyBorder="1" applyAlignment="1">
      <alignment vertical="center" wrapText="1"/>
    </xf>
    <xf numFmtId="177" fontId="32" fillId="5" borderId="32" xfId="2" applyNumberFormat="1" applyFont="1" applyFill="1" applyBorder="1" applyAlignment="1">
      <alignment horizontal="right" vertical="center" wrapText="1"/>
    </xf>
    <xf numFmtId="0" fontId="27" fillId="0" borderId="32" xfId="2" applyFont="1" applyBorder="1" applyAlignment="1">
      <alignment vertical="center" wrapText="1"/>
    </xf>
    <xf numFmtId="0" fontId="27" fillId="0" borderId="33" xfId="2" applyFont="1" applyBorder="1" applyAlignment="1">
      <alignment vertical="center" wrapText="1"/>
    </xf>
    <xf numFmtId="0" fontId="27" fillId="0" borderId="34" xfId="2" applyFont="1" applyBorder="1" applyAlignment="1">
      <alignment vertical="center" wrapText="1"/>
    </xf>
    <xf numFmtId="0" fontId="30" fillId="0" borderId="35" xfId="2" applyFont="1" applyBorder="1" applyAlignment="1">
      <alignment vertical="center" wrapText="1"/>
    </xf>
    <xf numFmtId="0" fontId="27" fillId="0" borderId="36" xfId="2" applyFont="1" applyBorder="1" applyAlignment="1">
      <alignment vertical="center" wrapText="1"/>
    </xf>
    <xf numFmtId="0" fontId="27" fillId="0" borderId="37" xfId="2" applyFont="1" applyBorder="1" applyAlignment="1">
      <alignment vertical="center" wrapText="1"/>
    </xf>
    <xf numFmtId="0" fontId="30" fillId="0" borderId="39" xfId="2" applyFont="1" applyBorder="1" applyAlignment="1">
      <alignment vertical="center" wrapText="1"/>
    </xf>
    <xf numFmtId="177" fontId="32" fillId="5" borderId="40" xfId="2" applyNumberFormat="1" applyFont="1" applyFill="1" applyBorder="1" applyAlignment="1">
      <alignment horizontal="right" vertical="center" wrapText="1"/>
    </xf>
    <xf numFmtId="0" fontId="27" fillId="0" borderId="40" xfId="2" applyFont="1" applyBorder="1" applyAlignment="1">
      <alignment vertical="center" wrapText="1"/>
    </xf>
    <xf numFmtId="0" fontId="27" fillId="0" borderId="41" xfId="2" applyFont="1" applyBorder="1" applyAlignment="1">
      <alignment vertical="center" wrapText="1"/>
    </xf>
    <xf numFmtId="0" fontId="27" fillId="0" borderId="42" xfId="2" applyFont="1" applyBorder="1" applyAlignment="1">
      <alignment vertical="center" wrapText="1"/>
    </xf>
    <xf numFmtId="0" fontId="30" fillId="0" borderId="43" xfId="2" applyFont="1" applyBorder="1" applyAlignment="1">
      <alignment vertical="center" wrapText="1"/>
    </xf>
    <xf numFmtId="0" fontId="27" fillId="0" borderId="44" xfId="2" applyFont="1" applyBorder="1" applyAlignment="1">
      <alignment vertical="center" wrapText="1"/>
    </xf>
    <xf numFmtId="0" fontId="27" fillId="0" borderId="45" xfId="2" applyFont="1" applyBorder="1" applyAlignment="1">
      <alignment vertical="center" wrapText="1"/>
    </xf>
    <xf numFmtId="0" fontId="27" fillId="0" borderId="46" xfId="2" applyFont="1" applyBorder="1" applyAlignment="1">
      <alignment vertical="center" wrapText="1"/>
    </xf>
    <xf numFmtId="0" fontId="25" fillId="2" borderId="10" xfId="2" applyFont="1" applyFill="1" applyBorder="1" applyAlignment="1">
      <alignment vertical="center" wrapText="1"/>
    </xf>
    <xf numFmtId="0" fontId="25" fillId="2" borderId="0" xfId="2" applyFont="1" applyFill="1" applyAlignment="1">
      <alignment vertical="center" wrapText="1"/>
    </xf>
    <xf numFmtId="179" fontId="25" fillId="2" borderId="0" xfId="2" applyNumberFormat="1" applyFont="1" applyFill="1" applyAlignment="1">
      <alignment vertical="center" wrapText="1"/>
    </xf>
    <xf numFmtId="0" fontId="25" fillId="2" borderId="11" xfId="2" applyFont="1" applyFill="1" applyBorder="1" applyAlignment="1">
      <alignment vertical="center" wrapText="1"/>
    </xf>
    <xf numFmtId="0" fontId="29" fillId="0" borderId="15" xfId="2" applyFont="1" applyBorder="1" applyAlignment="1">
      <alignment vertical="center" wrapText="1"/>
    </xf>
    <xf numFmtId="0" fontId="34" fillId="0" borderId="16" xfId="2" applyFont="1" applyBorder="1" applyAlignment="1">
      <alignment vertical="center" wrapText="1"/>
    </xf>
    <xf numFmtId="179" fontId="27" fillId="0" borderId="0" xfId="2" applyNumberFormat="1" applyFont="1" applyAlignment="1">
      <alignment vertical="center" wrapText="1"/>
    </xf>
    <xf numFmtId="0" fontId="34" fillId="0" borderId="19" xfId="2" applyFont="1" applyBorder="1" applyAlignment="1">
      <alignment vertical="center" wrapText="1"/>
    </xf>
    <xf numFmtId="0" fontId="30" fillId="0" borderId="19" xfId="2" applyFont="1" applyBorder="1" applyAlignment="1">
      <alignment vertical="center" wrapText="1"/>
    </xf>
    <xf numFmtId="0" fontId="34" fillId="0" borderId="0" xfId="2" applyFont="1" applyAlignment="1">
      <alignment vertical="center" wrapText="1"/>
    </xf>
    <xf numFmtId="0" fontId="32" fillId="0" borderId="1" xfId="1" applyFont="1" applyBorder="1" applyAlignment="1">
      <alignment horizontal="center" vertical="center" wrapText="1"/>
    </xf>
    <xf numFmtId="179" fontId="32" fillId="0" borderId="1" xfId="1" applyNumberFormat="1" applyFont="1" applyBorder="1" applyAlignment="1">
      <alignment horizontal="center" vertical="center" wrapText="1"/>
    </xf>
    <xf numFmtId="0" fontId="32" fillId="0" borderId="1" xfId="3" applyFont="1" applyBorder="1" applyAlignment="1">
      <alignment horizontal="center" vertical="center" wrapText="1"/>
    </xf>
    <xf numFmtId="0" fontId="27" fillId="0" borderId="1" xfId="1" applyFont="1" applyBorder="1" applyAlignment="1">
      <alignment horizontal="center" vertical="center" wrapText="1"/>
    </xf>
    <xf numFmtId="0" fontId="27" fillId="0" borderId="1" xfId="2" applyFont="1" applyBorder="1" applyAlignment="1">
      <alignment vertical="center" wrapText="1"/>
    </xf>
    <xf numFmtId="0" fontId="27" fillId="0" borderId="1" xfId="2" applyFont="1" applyBorder="1" applyAlignment="1">
      <alignment horizontal="center" vertical="center" wrapText="1"/>
    </xf>
    <xf numFmtId="179" fontId="27" fillId="0" borderId="1" xfId="2" applyNumberFormat="1" applyFont="1" applyBorder="1" applyAlignment="1">
      <alignment horizontal="center" vertical="center" wrapText="1"/>
    </xf>
    <xf numFmtId="0" fontId="27" fillId="0" borderId="1" xfId="2" applyFont="1" applyBorder="1" applyAlignment="1">
      <alignment horizontal="left" vertical="center" wrapText="1"/>
    </xf>
    <xf numFmtId="0" fontId="35" fillId="0" borderId="3" xfId="3" applyFont="1" applyBorder="1" applyAlignment="1">
      <alignment horizontal="center" vertical="center"/>
    </xf>
    <xf numFmtId="0" fontId="36" fillId="0" borderId="1" xfId="3" applyFont="1" applyBorder="1" applyAlignment="1">
      <alignment horizontal="left"/>
    </xf>
    <xf numFmtId="0" fontId="36" fillId="0" borderId="5" xfId="3" applyFont="1" applyBorder="1" applyAlignment="1">
      <alignment horizontal="center" vertical="center"/>
    </xf>
    <xf numFmtId="0" fontId="36" fillId="0" borderId="1" xfId="3" applyFont="1" applyBorder="1" applyAlignment="1">
      <alignment horizontal="center" vertical="center"/>
    </xf>
    <xf numFmtId="0" fontId="36" fillId="0" borderId="0" xfId="3" applyFont="1"/>
    <xf numFmtId="181" fontId="35" fillId="0" borderId="3" xfId="3" applyNumberFormat="1" applyFont="1" applyBorder="1" applyAlignment="1">
      <alignment horizontal="center" vertical="center"/>
    </xf>
    <xf numFmtId="0" fontId="36" fillId="0" borderId="5" xfId="3" applyFont="1" applyBorder="1" applyAlignment="1">
      <alignment horizontal="center"/>
    </xf>
    <xf numFmtId="0" fontId="36" fillId="0" borderId="0" xfId="3" applyFont="1" applyAlignment="1">
      <alignment horizontal="center"/>
    </xf>
    <xf numFmtId="180" fontId="35" fillId="0" borderId="3" xfId="3" applyNumberFormat="1" applyFont="1" applyBorder="1" applyAlignment="1">
      <alignment horizontal="center" vertical="center"/>
    </xf>
    <xf numFmtId="180" fontId="37" fillId="0" borderId="1" xfId="3" applyNumberFormat="1" applyFont="1" applyBorder="1" applyAlignment="1">
      <alignment horizontal="left"/>
    </xf>
    <xf numFmtId="180" fontId="36" fillId="0" borderId="0" xfId="3" applyNumberFormat="1" applyFont="1"/>
    <xf numFmtId="180" fontId="36" fillId="0" borderId="1" xfId="3" applyNumberFormat="1" applyFont="1" applyBorder="1" applyAlignment="1">
      <alignment horizontal="left"/>
    </xf>
    <xf numFmtId="0" fontId="36" fillId="0" borderId="0" xfId="3" applyFont="1" applyAlignment="1">
      <alignment horizontal="left"/>
    </xf>
    <xf numFmtId="0" fontId="1" fillId="0" borderId="1" xfId="4" applyBorder="1"/>
    <xf numFmtId="0" fontId="1" fillId="6" borderId="1" xfId="4" applyFill="1" applyBorder="1"/>
    <xf numFmtId="0" fontId="36" fillId="0" borderId="0" xfId="0" applyFont="1" applyAlignment="1">
      <alignment horizontal="center"/>
    </xf>
    <xf numFmtId="0" fontId="38" fillId="0" borderId="0" xfId="5" applyFont="1">
      <alignment vertical="center"/>
    </xf>
    <xf numFmtId="0" fontId="38" fillId="0" borderId="1" xfId="5" applyFont="1" applyBorder="1" applyAlignment="1">
      <alignment horizontal="center" vertical="center"/>
    </xf>
    <xf numFmtId="0" fontId="38" fillId="0" borderId="1" xfId="5" applyFont="1" applyBorder="1" applyAlignment="1">
      <alignment horizontal="center" vertical="center" wrapText="1"/>
    </xf>
    <xf numFmtId="0" fontId="24" fillId="0" borderId="0" xfId="2">
      <alignment vertical="center"/>
    </xf>
    <xf numFmtId="0" fontId="24" fillId="7" borderId="0" xfId="2" applyFill="1">
      <alignment vertical="center"/>
    </xf>
    <xf numFmtId="0" fontId="36" fillId="0" borderId="5" xfId="3" applyNumberFormat="1" applyFont="1" applyBorder="1" applyAlignment="1">
      <alignment horizontal="center" vertical="center"/>
    </xf>
    <xf numFmtId="0" fontId="36" fillId="0" borderId="1" xfId="3" applyNumberFormat="1" applyFont="1" applyBorder="1" applyAlignment="1">
      <alignment horizontal="center" vertical="center"/>
    </xf>
    <xf numFmtId="177" fontId="31" fillId="4" borderId="16" xfId="2" applyNumberFormat="1" applyFont="1" applyFill="1" applyBorder="1" applyAlignment="1">
      <alignment horizontal="right" vertical="center" wrapText="1"/>
    </xf>
    <xf numFmtId="0" fontId="24" fillId="0" borderId="1" xfId="2" applyBorder="1">
      <alignment vertical="center"/>
    </xf>
    <xf numFmtId="0" fontId="5" fillId="0" borderId="1" xfId="2" applyFont="1" applyBorder="1" applyAlignment="1">
      <alignment horizontal="center" vertical="center"/>
    </xf>
    <xf numFmtId="0" fontId="5" fillId="8" borderId="1" xfId="2" applyFont="1" applyFill="1" applyBorder="1" applyAlignment="1">
      <alignment horizontal="left" vertical="center"/>
    </xf>
    <xf numFmtId="0" fontId="5" fillId="0" borderId="1" xfId="2" applyFont="1" applyBorder="1">
      <alignment vertical="center"/>
    </xf>
    <xf numFmtId="0" fontId="24" fillId="8" borderId="1" xfId="2" applyFill="1" applyBorder="1">
      <alignment vertical="center"/>
    </xf>
    <xf numFmtId="0" fontId="24" fillId="0" borderId="3" xfId="2" applyBorder="1">
      <alignment vertical="center"/>
    </xf>
    <xf numFmtId="0" fontId="37" fillId="0" borderId="1" xfId="2" applyFont="1" applyBorder="1">
      <alignment vertical="center"/>
    </xf>
    <xf numFmtId="0" fontId="41" fillId="8" borderId="1" xfId="2" applyFont="1" applyFill="1" applyBorder="1">
      <alignment vertical="center"/>
    </xf>
    <xf numFmtId="0" fontId="24" fillId="0" borderId="1" xfId="2" applyBorder="1" applyAlignment="1">
      <alignment horizontal="left" vertical="center"/>
    </xf>
    <xf numFmtId="0" fontId="24" fillId="8" borderId="0" xfId="2" applyFill="1">
      <alignment vertical="center"/>
    </xf>
    <xf numFmtId="182" fontId="24" fillId="0" borderId="1" xfId="2" applyNumberFormat="1" applyBorder="1">
      <alignment vertical="center"/>
    </xf>
    <xf numFmtId="177" fontId="24" fillId="0" borderId="1" xfId="2" applyNumberFormat="1" applyBorder="1">
      <alignment vertical="center"/>
    </xf>
    <xf numFmtId="0" fontId="41" fillId="0" borderId="1" xfId="2" applyFont="1" applyBorder="1" applyAlignment="1">
      <alignment horizontal="left" vertical="center"/>
    </xf>
    <xf numFmtId="178" fontId="24" fillId="0" borderId="1" xfId="2" applyNumberFormat="1" applyBorder="1">
      <alignment vertical="center"/>
    </xf>
    <xf numFmtId="0" fontId="39" fillId="0" borderId="7" xfId="2" applyFont="1" applyBorder="1">
      <alignment vertical="center"/>
    </xf>
    <xf numFmtId="0" fontId="24" fillId="0" borderId="54" xfId="2" applyBorder="1">
      <alignment vertical="center"/>
    </xf>
    <xf numFmtId="0" fontId="24" fillId="0" borderId="55" xfId="2" applyBorder="1">
      <alignment vertical="center"/>
    </xf>
    <xf numFmtId="0" fontId="24" fillId="0" borderId="56" xfId="2" applyBorder="1">
      <alignment vertical="center"/>
    </xf>
    <xf numFmtId="0" fontId="24" fillId="0" borderId="57" xfId="2" applyBorder="1">
      <alignment vertical="center"/>
    </xf>
    <xf numFmtId="0" fontId="3" fillId="0" borderId="56" xfId="2" applyFont="1" applyBorder="1">
      <alignment vertical="center"/>
    </xf>
    <xf numFmtId="0" fontId="24" fillId="0" borderId="49" xfId="2" applyBorder="1" applyAlignment="1">
      <alignment horizontal="center" vertical="center"/>
    </xf>
    <xf numFmtId="0" fontId="24" fillId="0" borderId="1" xfId="2" applyBorder="1" applyAlignment="1">
      <alignment horizontal="center" vertical="center"/>
    </xf>
    <xf numFmtId="0" fontId="24" fillId="0" borderId="50" xfId="2" applyBorder="1" applyAlignment="1">
      <alignment horizontal="center" vertical="center"/>
    </xf>
    <xf numFmtId="0" fontId="24" fillId="0" borderId="0" xfId="2" applyAlignment="1">
      <alignment horizontal="center" vertical="center"/>
    </xf>
    <xf numFmtId="0" fontId="24" fillId="0" borderId="49" xfId="2" applyBorder="1">
      <alignment vertical="center"/>
    </xf>
    <xf numFmtId="0" fontId="24" fillId="0" borderId="50" xfId="2" applyBorder="1">
      <alignment vertical="center"/>
    </xf>
    <xf numFmtId="177" fontId="24" fillId="0" borderId="50" xfId="2" applyNumberFormat="1" applyBorder="1" applyAlignment="1">
      <alignment horizontal="center" vertical="center"/>
    </xf>
    <xf numFmtId="0" fontId="24" fillId="0" borderId="58" xfId="2" applyBorder="1" applyAlignment="1">
      <alignment horizontal="center" vertical="center"/>
    </xf>
    <xf numFmtId="0" fontId="24" fillId="0" borderId="2" xfId="2" applyBorder="1" applyAlignment="1">
      <alignment horizontal="center" vertical="center"/>
    </xf>
    <xf numFmtId="0" fontId="24" fillId="0" borderId="59" xfId="2" applyBorder="1" applyAlignment="1">
      <alignment horizontal="center" vertical="center"/>
    </xf>
    <xf numFmtId="0" fontId="24" fillId="0" borderId="51" xfId="2" applyBorder="1">
      <alignment vertical="center"/>
    </xf>
    <xf numFmtId="0" fontId="24" fillId="0" borderId="52" xfId="2" applyBorder="1">
      <alignment vertical="center"/>
    </xf>
    <xf numFmtId="0" fontId="24" fillId="0" borderId="53" xfId="2" applyBorder="1" applyAlignment="1">
      <alignment horizontal="center" vertical="center"/>
    </xf>
    <xf numFmtId="178" fontId="27" fillId="0" borderId="1" xfId="2" applyNumberFormat="1" applyFont="1" applyBorder="1" applyAlignment="1">
      <alignment horizontal="center" vertical="center" wrapText="1"/>
    </xf>
    <xf numFmtId="0" fontId="30" fillId="0" borderId="22" xfId="2" applyFont="1" applyBorder="1" applyAlignment="1">
      <alignment vertical="center" wrapText="1"/>
    </xf>
    <xf numFmtId="0" fontId="27" fillId="0" borderId="27" xfId="2" applyFont="1" applyBorder="1" applyAlignment="1">
      <alignment vertical="center" wrapText="1"/>
    </xf>
    <xf numFmtId="0" fontId="27" fillId="0" borderId="60" xfId="2" applyFont="1" applyBorder="1" applyAlignment="1">
      <alignment vertical="center" wrapText="1"/>
    </xf>
    <xf numFmtId="0" fontId="27" fillId="0" borderId="38" xfId="2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27" fillId="0" borderId="0" xfId="2" applyFont="1" applyAlignment="1">
      <alignment horizontal="right" vertical="center" wrapText="1"/>
    </xf>
    <xf numFmtId="0" fontId="30" fillId="0" borderId="61" xfId="2" applyFont="1" applyBorder="1" applyAlignment="1">
      <alignment vertical="center" wrapText="1"/>
    </xf>
    <xf numFmtId="178" fontId="32" fillId="5" borderId="62" xfId="2" applyNumberFormat="1" applyFont="1" applyFill="1" applyBorder="1" applyAlignment="1">
      <alignment horizontal="right" vertical="center" wrapText="1"/>
    </xf>
    <xf numFmtId="0" fontId="27" fillId="0" borderId="62" xfId="2" applyFont="1" applyBorder="1" applyAlignment="1">
      <alignment vertical="center" wrapText="1"/>
    </xf>
    <xf numFmtId="0" fontId="30" fillId="0" borderId="63" xfId="2" applyFont="1" applyBorder="1" applyAlignment="1">
      <alignment vertical="center" wrapText="1"/>
    </xf>
    <xf numFmtId="179" fontId="27" fillId="0" borderId="62" xfId="2" applyNumberFormat="1" applyFont="1" applyBorder="1" applyAlignment="1">
      <alignment vertical="center" wrapText="1"/>
    </xf>
    <xf numFmtId="0" fontId="27" fillId="0" borderId="64" xfId="2" applyFont="1" applyBorder="1" applyAlignment="1">
      <alignment vertical="center" wrapText="1"/>
    </xf>
    <xf numFmtId="0" fontId="27" fillId="0" borderId="63" xfId="2" applyFont="1" applyBorder="1" applyAlignment="1">
      <alignment horizontal="center" vertical="center" wrapText="1"/>
    </xf>
    <xf numFmtId="0" fontId="27" fillId="0" borderId="65" xfId="2" applyFont="1" applyBorder="1" applyAlignment="1">
      <alignment horizontal="center" vertical="center" wrapText="1"/>
    </xf>
    <xf numFmtId="177" fontId="34" fillId="0" borderId="16" xfId="2" applyNumberFormat="1" applyFont="1" applyBorder="1" applyAlignment="1">
      <alignment vertical="center" wrapText="1"/>
    </xf>
    <xf numFmtId="0" fontId="23" fillId="0" borderId="1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/>
    </xf>
    <xf numFmtId="0" fontId="27" fillId="0" borderId="1" xfId="1" applyFont="1" applyBorder="1" applyAlignment="1">
      <alignment horizontal="left" vertical="center" wrapText="1"/>
    </xf>
    <xf numFmtId="0" fontId="32" fillId="5" borderId="19" xfId="2" applyNumberFormat="1" applyFont="1" applyFill="1" applyBorder="1" applyAlignment="1">
      <alignment horizontal="right" vertical="center" wrapText="1"/>
    </xf>
    <xf numFmtId="0" fontId="24" fillId="0" borderId="0" xfId="2" applyAlignment="1">
      <alignment vertical="center" wrapText="1"/>
    </xf>
    <xf numFmtId="0" fontId="5" fillId="0" borderId="1" xfId="2" applyFont="1" applyBorder="1" applyAlignment="1">
      <alignment vertical="center" wrapText="1"/>
    </xf>
    <xf numFmtId="0" fontId="24" fillId="0" borderId="1" xfId="2" applyBorder="1" applyAlignment="1">
      <alignment vertical="center" wrapText="1"/>
    </xf>
    <xf numFmtId="0" fontId="24" fillId="0" borderId="0" xfId="2" applyAlignment="1">
      <alignment horizontal="center" vertical="center" wrapText="1"/>
    </xf>
    <xf numFmtId="0" fontId="42" fillId="0" borderId="0" xfId="2" applyFont="1" applyAlignment="1">
      <alignment vertical="center" wrapText="1"/>
    </xf>
    <xf numFmtId="0" fontId="24" fillId="0" borderId="0" xfId="2" applyAlignment="1">
      <alignment vertical="center"/>
    </xf>
    <xf numFmtId="176" fontId="27" fillId="0" borderId="19" xfId="2" applyNumberFormat="1" applyFont="1" applyBorder="1" applyAlignment="1">
      <alignment vertical="center" wrapText="1"/>
    </xf>
    <xf numFmtId="0" fontId="27" fillId="0" borderId="0" xfId="2" applyFont="1" applyBorder="1" applyAlignment="1">
      <alignment vertical="center" wrapText="1"/>
    </xf>
    <xf numFmtId="0" fontId="30" fillId="0" borderId="0" xfId="2" applyFont="1" applyBorder="1" applyAlignment="1">
      <alignment vertical="center" wrapText="1"/>
    </xf>
    <xf numFmtId="0" fontId="29" fillId="0" borderId="0" xfId="2" applyFont="1" applyBorder="1" applyAlignment="1">
      <alignment horizontal="center" vertical="center" wrapText="1"/>
    </xf>
    <xf numFmtId="0" fontId="32" fillId="0" borderId="21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29" fillId="0" borderId="19" xfId="2" applyFont="1" applyBorder="1" applyAlignment="1">
      <alignment horizontal="center" vertical="center" wrapText="1"/>
    </xf>
    <xf numFmtId="0" fontId="32" fillId="0" borderId="29" xfId="2" applyFont="1" applyBorder="1" applyAlignment="1">
      <alignment horizontal="center" vertical="center" wrapText="1"/>
    </xf>
    <xf numFmtId="0" fontId="32" fillId="0" borderId="30" xfId="2" applyFont="1" applyBorder="1" applyAlignment="1">
      <alignment horizontal="center" vertical="center" wrapText="1"/>
    </xf>
    <xf numFmtId="177" fontId="34" fillId="0" borderId="19" xfId="2" applyNumberFormat="1" applyFont="1" applyBorder="1" applyAlignment="1">
      <alignment vertical="center" wrapText="1"/>
    </xf>
    <xf numFmtId="177" fontId="34" fillId="0" borderId="0" xfId="2" applyNumberFormat="1" applyFont="1" applyAlignment="1">
      <alignment vertical="center" wrapText="1"/>
    </xf>
    <xf numFmtId="0" fontId="32" fillId="5" borderId="24" xfId="2" applyFont="1" applyFill="1" applyBorder="1" applyAlignment="1">
      <alignment horizontal="center" vertical="center" wrapText="1"/>
    </xf>
    <xf numFmtId="0" fontId="31" fillId="4" borderId="24" xfId="2" applyFont="1" applyFill="1" applyBorder="1" applyAlignment="1">
      <alignment horizontal="center" vertical="center" wrapText="1"/>
    </xf>
    <xf numFmtId="176" fontId="32" fillId="5" borderId="19" xfId="2" applyNumberFormat="1" applyFont="1" applyFill="1" applyBorder="1" applyAlignment="1">
      <alignment horizontal="right" vertical="center" wrapText="1"/>
    </xf>
    <xf numFmtId="176" fontId="27" fillId="0" borderId="0" xfId="2" applyNumberFormat="1" applyFont="1" applyAlignment="1">
      <alignment vertical="center" wrapText="1"/>
    </xf>
    <xf numFmtId="0" fontId="27" fillId="0" borderId="16" xfId="2" applyFont="1" applyBorder="1" applyAlignment="1">
      <alignment horizontal="center" vertical="center" wrapText="1"/>
    </xf>
    <xf numFmtId="0" fontId="28" fillId="0" borderId="69" xfId="2" applyFont="1" applyBorder="1" applyAlignment="1">
      <alignment horizontal="left" vertical="center" wrapText="1"/>
    </xf>
    <xf numFmtId="0" fontId="28" fillId="0" borderId="23" xfId="2" applyFont="1" applyBorder="1" applyAlignment="1">
      <alignment horizontal="left" vertical="center" wrapText="1"/>
    </xf>
    <xf numFmtId="0" fontId="28" fillId="0" borderId="27" xfId="2" applyFont="1" applyBorder="1" applyAlignment="1">
      <alignment horizontal="left" vertical="center" wrapText="1"/>
    </xf>
    <xf numFmtId="0" fontId="27" fillId="0" borderId="28" xfId="2" applyFont="1" applyBorder="1" applyAlignment="1">
      <alignment vertical="center" wrapText="1"/>
    </xf>
    <xf numFmtId="179" fontId="27" fillId="0" borderId="0" xfId="2" applyNumberFormat="1" applyFont="1" applyBorder="1" applyAlignment="1">
      <alignment horizontal="center" vertical="center" wrapText="1"/>
    </xf>
    <xf numFmtId="0" fontId="27" fillId="0" borderId="25" xfId="2" applyFont="1" applyBorder="1" applyAlignment="1">
      <alignment vertical="center" wrapText="1"/>
    </xf>
    <xf numFmtId="0" fontId="27" fillId="0" borderId="27" xfId="2" applyFont="1" applyBorder="1" applyAlignment="1">
      <alignment horizontal="left" vertical="center" wrapText="1"/>
    </xf>
    <xf numFmtId="0" fontId="27" fillId="0" borderId="17" xfId="2" applyFont="1" applyBorder="1" applyAlignment="1">
      <alignment horizontal="left" vertical="center" wrapText="1"/>
    </xf>
    <xf numFmtId="0" fontId="29" fillId="0" borderId="1" xfId="1" applyFont="1" applyBorder="1" applyAlignment="1">
      <alignment horizontal="center" vertical="center" wrapText="1"/>
    </xf>
    <xf numFmtId="0" fontId="25" fillId="2" borderId="8" xfId="2" applyFont="1" applyFill="1" applyBorder="1" applyAlignment="1">
      <alignment horizontal="left" vertical="center" wrapText="1"/>
    </xf>
    <xf numFmtId="0" fontId="25" fillId="2" borderId="13" xfId="2" applyFont="1" applyFill="1" applyBorder="1" applyAlignment="1">
      <alignment horizontal="left" vertical="center" wrapText="1"/>
    </xf>
    <xf numFmtId="0" fontId="25" fillId="2" borderId="14" xfId="2" applyFont="1" applyFill="1" applyBorder="1" applyAlignment="1">
      <alignment horizontal="left" vertical="center" wrapText="1"/>
    </xf>
    <xf numFmtId="0" fontId="25" fillId="2" borderId="9" xfId="2" applyFont="1" applyFill="1" applyBorder="1" applyAlignment="1">
      <alignment horizontal="left" vertical="center" wrapText="1"/>
    </xf>
    <xf numFmtId="0" fontId="28" fillId="3" borderId="10" xfId="2" applyFont="1" applyFill="1" applyBorder="1" applyAlignment="1">
      <alignment horizontal="left" vertical="center" wrapText="1"/>
    </xf>
    <xf numFmtId="0" fontId="28" fillId="3" borderId="0" xfId="2" applyFont="1" applyFill="1" applyAlignment="1">
      <alignment horizontal="left" vertical="center" wrapText="1"/>
    </xf>
    <xf numFmtId="0" fontId="28" fillId="3" borderId="11" xfId="2" applyFont="1" applyFill="1" applyBorder="1" applyAlignment="1">
      <alignment horizontal="left" vertical="center" wrapText="1"/>
    </xf>
    <xf numFmtId="0" fontId="27" fillId="0" borderId="66" xfId="2" applyFont="1" applyBorder="1" applyAlignment="1">
      <alignment horizontal="left" vertical="center" wrapText="1"/>
    </xf>
    <xf numFmtId="0" fontId="27" fillId="0" borderId="67" xfId="2" applyFont="1" applyBorder="1" applyAlignment="1">
      <alignment horizontal="left" vertical="center" wrapText="1"/>
    </xf>
    <xf numFmtId="0" fontId="27" fillId="0" borderId="68" xfId="2" applyFont="1" applyBorder="1" applyAlignment="1">
      <alignment horizontal="left" vertical="center" wrapText="1"/>
    </xf>
    <xf numFmtId="0" fontId="28" fillId="3" borderId="47" xfId="2" applyFont="1" applyFill="1" applyBorder="1" applyAlignment="1">
      <alignment horizontal="left" vertical="center" wrapText="1"/>
    </xf>
    <xf numFmtId="0" fontId="28" fillId="3" borderId="12" xfId="2" applyFont="1" applyFill="1" applyBorder="1" applyAlignment="1">
      <alignment horizontal="left" vertical="center" wrapText="1"/>
    </xf>
    <xf numFmtId="0" fontId="28" fillId="3" borderId="48" xfId="2" applyFont="1" applyFill="1" applyBorder="1" applyAlignment="1">
      <alignment horizontal="left" vertical="center" wrapText="1"/>
    </xf>
    <xf numFmtId="0" fontId="38" fillId="0" borderId="1" xfId="5" applyFont="1" applyBorder="1" applyAlignment="1">
      <alignment horizontal="center" vertical="center"/>
    </xf>
    <xf numFmtId="0" fontId="24" fillId="0" borderId="0" xfId="2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</cellXfs>
  <cellStyles count="6">
    <cellStyle name="常规" xfId="0" builtinId="0"/>
    <cellStyle name="常规 15" xfId="1"/>
    <cellStyle name="常规 2 2" xfId="5"/>
    <cellStyle name="常规 3 2" xfId="3"/>
    <cellStyle name="常规 4" xfId="4"/>
    <cellStyle name="常规 7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27137</xdr:colOff>
      <xdr:row>6</xdr:row>
      <xdr:rowOff>44661</xdr:rowOff>
    </xdr:from>
    <xdr:to>
      <xdr:col>6</xdr:col>
      <xdr:colOff>150019</xdr:colOff>
      <xdr:row>6</xdr:row>
      <xdr:rowOff>166161</xdr:rowOff>
    </xdr:to>
    <xdr:sp macro="" textlink="">
      <xdr:nvSpPr>
        <xdr:cNvPr id="2" name="iconfont-1124-72044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27912" y="1321011"/>
          <a:ext cx="122882" cy="121500"/>
        </a:xfrm>
        <a:custGeom>
          <a:avLst/>
          <a:gdLst>
            <a:gd name="T0" fmla="*/ 5689 w 11378"/>
            <a:gd name="T1" fmla="*/ 0 h 11378"/>
            <a:gd name="T2" fmla="*/ 0 w 11378"/>
            <a:gd name="T3" fmla="*/ 5689 h 11378"/>
            <a:gd name="T4" fmla="*/ 5689 w 11378"/>
            <a:gd name="T5" fmla="*/ 11378 h 11378"/>
            <a:gd name="T6" fmla="*/ 11378 w 11378"/>
            <a:gd name="T7" fmla="*/ 5689 h 11378"/>
            <a:gd name="T8" fmla="*/ 5689 w 11378"/>
            <a:gd name="T9" fmla="*/ 0 h 11378"/>
            <a:gd name="T10" fmla="*/ 8533 w 11378"/>
            <a:gd name="T11" fmla="*/ 7729 h 11378"/>
            <a:gd name="T12" fmla="*/ 7729 w 11378"/>
            <a:gd name="T13" fmla="*/ 8533 h 11378"/>
            <a:gd name="T14" fmla="*/ 5689 w 11378"/>
            <a:gd name="T15" fmla="*/ 6493 h 11378"/>
            <a:gd name="T16" fmla="*/ 3650 w 11378"/>
            <a:gd name="T17" fmla="*/ 8533 h 11378"/>
            <a:gd name="T18" fmla="*/ 2845 w 11378"/>
            <a:gd name="T19" fmla="*/ 7729 h 11378"/>
            <a:gd name="T20" fmla="*/ 4885 w 11378"/>
            <a:gd name="T21" fmla="*/ 5689 h 11378"/>
            <a:gd name="T22" fmla="*/ 2845 w 11378"/>
            <a:gd name="T23" fmla="*/ 3649 h 11378"/>
            <a:gd name="T24" fmla="*/ 3650 w 11378"/>
            <a:gd name="T25" fmla="*/ 2845 h 11378"/>
            <a:gd name="T26" fmla="*/ 5689 w 11378"/>
            <a:gd name="T27" fmla="*/ 4885 h 11378"/>
            <a:gd name="T28" fmla="*/ 7729 w 11378"/>
            <a:gd name="T29" fmla="*/ 2845 h 11378"/>
            <a:gd name="T30" fmla="*/ 8533 w 11378"/>
            <a:gd name="T31" fmla="*/ 3649 h 11378"/>
            <a:gd name="T32" fmla="*/ 6493 w 11378"/>
            <a:gd name="T33" fmla="*/ 5689 h 11378"/>
            <a:gd name="T34" fmla="*/ 8533 w 11378"/>
            <a:gd name="T35" fmla="*/ 7729 h 113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1378" h="11378">
              <a:moveTo>
                <a:pt x="5689" y="0"/>
              </a:moveTo>
              <a:cubicBezTo>
                <a:pt x="2545" y="0"/>
                <a:pt x="0" y="2545"/>
                <a:pt x="0" y="5689"/>
              </a:cubicBezTo>
              <a:cubicBezTo>
                <a:pt x="0" y="8833"/>
                <a:pt x="2545" y="11378"/>
                <a:pt x="5689" y="11378"/>
              </a:cubicBezTo>
              <a:cubicBezTo>
                <a:pt x="8833" y="11378"/>
                <a:pt x="11378" y="8833"/>
                <a:pt x="11378" y="5689"/>
              </a:cubicBezTo>
              <a:cubicBezTo>
                <a:pt x="11378" y="2545"/>
                <a:pt x="8833" y="0"/>
                <a:pt x="5689" y="0"/>
              </a:cubicBezTo>
              <a:close/>
              <a:moveTo>
                <a:pt x="8533" y="7729"/>
              </a:moveTo>
              <a:lnTo>
                <a:pt x="7729" y="8533"/>
              </a:lnTo>
              <a:lnTo>
                <a:pt x="5689" y="6493"/>
              </a:lnTo>
              <a:lnTo>
                <a:pt x="3650" y="8533"/>
              </a:lnTo>
              <a:lnTo>
                <a:pt x="2845" y="7729"/>
              </a:lnTo>
              <a:lnTo>
                <a:pt x="4885" y="5689"/>
              </a:lnTo>
              <a:lnTo>
                <a:pt x="2845" y="3649"/>
              </a:lnTo>
              <a:lnTo>
                <a:pt x="3650" y="2845"/>
              </a:lnTo>
              <a:lnTo>
                <a:pt x="5689" y="4885"/>
              </a:lnTo>
              <a:lnTo>
                <a:pt x="7729" y="2845"/>
              </a:lnTo>
              <a:lnTo>
                <a:pt x="8533" y="3649"/>
              </a:lnTo>
              <a:lnTo>
                <a:pt x="6493" y="5689"/>
              </a:lnTo>
              <a:lnTo>
                <a:pt x="8533" y="7729"/>
              </a:lnTo>
              <a:close/>
            </a:path>
          </a:pathLst>
        </a:custGeom>
        <a:solidFill>
          <a:srgbClr val="D86344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5</xdr:col>
      <xdr:colOff>1838325</xdr:colOff>
      <xdr:row>82</xdr:row>
      <xdr:rowOff>190501</xdr:rowOff>
    </xdr:from>
    <xdr:to>
      <xdr:col>8</xdr:col>
      <xdr:colOff>1600200</xdr:colOff>
      <xdr:row>101</xdr:row>
      <xdr:rowOff>147773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4075" y="18592801"/>
          <a:ext cx="4181475" cy="393872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827;&#27700;&#25552;&#21319;&#27893;&#25151;&#24314;&#27169;202108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学建模"/>
      <sheetName val="辅助-模块单元解耦"/>
      <sheetName val="辅助-型号"/>
      <sheetName val="辅助-输出功率"/>
      <sheetName val="辅助-内插法总变化系数"/>
      <sheetName val="辅助-碳钢钢管管径壁厚"/>
      <sheetName val="辅助-不锈钢管（曝气）管径壁厚"/>
      <sheetName val="辅助-A~G数值"/>
      <sheetName val="输入&amp;输出"/>
      <sheetName val="设备、材料清单"/>
      <sheetName val="结构清单"/>
      <sheetName val="电仪控清单"/>
      <sheetName val="液位控制说明"/>
      <sheetName val="基础数据1"/>
      <sheetName val="Sheet2"/>
      <sheetName val="管道流速"/>
      <sheetName val="Sheet1"/>
      <sheetName val="计算层"/>
      <sheetName val="变化系数"/>
      <sheetName val="进水管计算"/>
    </sheetNames>
    <sheetDataSet>
      <sheetData sheetId="0"/>
      <sheetData sheetId="1">
        <row r="1">
          <cell r="A1" t="str">
            <v>总水量（m3/d）</v>
          </cell>
          <cell r="C1">
            <v>10000</v>
          </cell>
          <cell r="D1">
            <v>10000</v>
          </cell>
          <cell r="E1">
            <v>10000</v>
          </cell>
          <cell r="F1">
            <v>20000</v>
          </cell>
          <cell r="G1">
            <v>20000</v>
          </cell>
          <cell r="H1">
            <v>20000</v>
          </cell>
          <cell r="I1">
            <v>30000</v>
          </cell>
          <cell r="J1">
            <v>30000</v>
          </cell>
          <cell r="K1">
            <v>30000</v>
          </cell>
          <cell r="L1">
            <v>40000</v>
          </cell>
          <cell r="M1">
            <v>40000</v>
          </cell>
          <cell r="N1">
            <v>40000</v>
          </cell>
          <cell r="O1">
            <v>50000</v>
          </cell>
          <cell r="P1">
            <v>50000</v>
          </cell>
          <cell r="Q1">
            <v>50000</v>
          </cell>
          <cell r="R1">
            <v>60000</v>
          </cell>
          <cell r="S1">
            <v>60000</v>
          </cell>
          <cell r="T1">
            <v>60000</v>
          </cell>
          <cell r="U1">
            <v>70000</v>
          </cell>
          <cell r="V1">
            <v>70000</v>
          </cell>
          <cell r="W1">
            <v>70000</v>
          </cell>
          <cell r="X1">
            <v>80000</v>
          </cell>
          <cell r="Y1">
            <v>80000</v>
          </cell>
          <cell r="Z1">
            <v>80000</v>
          </cell>
          <cell r="AA1">
            <v>90000</v>
          </cell>
          <cell r="AB1">
            <v>90000</v>
          </cell>
          <cell r="AC1">
            <v>90000</v>
          </cell>
          <cell r="AD1">
            <v>100000</v>
          </cell>
          <cell r="AE1">
            <v>100000</v>
          </cell>
          <cell r="AF1">
            <v>100000</v>
          </cell>
          <cell r="AG1">
            <v>110000</v>
          </cell>
          <cell r="AH1">
            <v>110000</v>
          </cell>
          <cell r="AI1">
            <v>110000</v>
          </cell>
          <cell r="AJ1">
            <v>120000</v>
          </cell>
          <cell r="AK1">
            <v>120000</v>
          </cell>
          <cell r="AL1">
            <v>120000</v>
          </cell>
          <cell r="AM1">
            <v>130000</v>
          </cell>
          <cell r="AN1">
            <v>130000</v>
          </cell>
          <cell r="AO1">
            <v>130000</v>
          </cell>
          <cell r="AP1">
            <v>140000</v>
          </cell>
          <cell r="AQ1">
            <v>140000</v>
          </cell>
          <cell r="AR1">
            <v>140000</v>
          </cell>
          <cell r="AS1">
            <v>150000</v>
          </cell>
          <cell r="AT1">
            <v>150000</v>
          </cell>
          <cell r="AU1">
            <v>150000</v>
          </cell>
          <cell r="AV1">
            <v>160000</v>
          </cell>
          <cell r="AW1">
            <v>160000</v>
          </cell>
          <cell r="AX1">
            <v>160000</v>
          </cell>
          <cell r="AY1">
            <v>170000</v>
          </cell>
          <cell r="AZ1">
            <v>170000</v>
          </cell>
          <cell r="BA1">
            <v>170000</v>
          </cell>
          <cell r="BB1">
            <v>180000</v>
          </cell>
          <cell r="BC1">
            <v>180000</v>
          </cell>
          <cell r="BD1">
            <v>180000</v>
          </cell>
          <cell r="BE1">
            <v>190000</v>
          </cell>
          <cell r="BF1">
            <v>190000</v>
          </cell>
          <cell r="BG1">
            <v>190000</v>
          </cell>
          <cell r="BH1">
            <v>200000</v>
          </cell>
          <cell r="BI1">
            <v>200000</v>
          </cell>
          <cell r="BJ1">
            <v>200000</v>
          </cell>
        </row>
        <row r="2">
          <cell r="A2" t="str">
            <v>型号</v>
          </cell>
          <cell r="C2" t="str">
            <v>BE-JSTSB-QW-1-5</v>
          </cell>
          <cell r="D2" t="str">
            <v>BE-JSTSB-QW-1-8</v>
          </cell>
          <cell r="E2" t="str">
            <v>BE-JSTSB-QW-1-12</v>
          </cell>
          <cell r="F2" t="str">
            <v>BE-JSTSB-QW-2-5</v>
          </cell>
          <cell r="G2" t="str">
            <v>BE-JSTSB-QW-2-8</v>
          </cell>
          <cell r="H2" t="str">
            <v>BE-JSTSB-QW-2-12</v>
          </cell>
          <cell r="I2" t="str">
            <v>BE-JSTSB-QW-3-5</v>
          </cell>
          <cell r="J2" t="str">
            <v>BE-JSTSB-QW-3-8</v>
          </cell>
          <cell r="K2" t="str">
            <v>BE-JSTSB-QW-3-12</v>
          </cell>
          <cell r="L2" t="str">
            <v>BE-JSTSB-QW-4-5</v>
          </cell>
          <cell r="M2" t="str">
            <v>BE-JSTSB-QW-4-8</v>
          </cell>
          <cell r="N2" t="str">
            <v>BE-JSTSB-QW-4-12</v>
          </cell>
          <cell r="O2" t="str">
            <v>BE-JSTSB-QW-5-5</v>
          </cell>
          <cell r="P2" t="str">
            <v>BE-JSTSB-QW-5-8</v>
          </cell>
          <cell r="Q2" t="str">
            <v>BE-JSTSB-QW-5-12</v>
          </cell>
          <cell r="R2" t="str">
            <v>BE-JSTSB-QW-6-5</v>
          </cell>
          <cell r="S2" t="str">
            <v>BE-JSTSB-QW-6-8</v>
          </cell>
          <cell r="T2" t="str">
            <v>BE-JSTSB-QW-6-12</v>
          </cell>
          <cell r="U2" t="str">
            <v>BE-JSTSB-QW-7-5</v>
          </cell>
          <cell r="V2" t="str">
            <v>BE-JSTSB-QW-7-8</v>
          </cell>
          <cell r="W2" t="str">
            <v>BE-JSTSB-QW-7-12</v>
          </cell>
          <cell r="X2" t="str">
            <v>BE-JSTSB-QW-8-5</v>
          </cell>
          <cell r="Y2" t="str">
            <v>BE-JSTSB-QW-8-8</v>
          </cell>
          <cell r="Z2" t="str">
            <v>BE-JSTSB-QW-8-12</v>
          </cell>
          <cell r="AA2" t="str">
            <v>BE-JSTSB-QW-9-5</v>
          </cell>
          <cell r="AB2" t="str">
            <v>BE-JSTSB-QW-9-8</v>
          </cell>
          <cell r="AC2" t="str">
            <v>BE-JSTSB-QW-9-12</v>
          </cell>
          <cell r="AD2" t="str">
            <v>BE-JSTSB-QW-10-5</v>
          </cell>
          <cell r="AE2" t="str">
            <v>BE-JSTSB-QW-10-8</v>
          </cell>
          <cell r="AF2" t="str">
            <v>BE-JSTSB-QW-10-12</v>
          </cell>
          <cell r="AG2" t="str">
            <v>BE-JSTSB-QW-11-5</v>
          </cell>
          <cell r="AH2" t="str">
            <v>BE-JSTSB-QW-11-8</v>
          </cell>
          <cell r="AI2" t="str">
            <v>BE-JSTSB-QW-11-12</v>
          </cell>
          <cell r="AJ2" t="str">
            <v>BE-JSTSB-QW-12-5</v>
          </cell>
          <cell r="AK2" t="str">
            <v>BE-JSTSB-QW-12-8</v>
          </cell>
          <cell r="AL2" t="str">
            <v>BE-JSTSB-QW-12-12</v>
          </cell>
          <cell r="AM2" t="str">
            <v>BE-JSTSB-QW-13-5</v>
          </cell>
          <cell r="AN2" t="str">
            <v>BE-JSTSB-QW-13-8</v>
          </cell>
          <cell r="AO2" t="str">
            <v>BE-JSTSB-QW-13-12</v>
          </cell>
          <cell r="AP2" t="str">
            <v>BE-JSTSB-QW-14-5</v>
          </cell>
          <cell r="AQ2" t="str">
            <v>BE-JSTSB-QW-14-8</v>
          </cell>
          <cell r="AR2" t="str">
            <v>BE-JSTSB-QW-14-12</v>
          </cell>
          <cell r="AS2" t="str">
            <v>BE-JSTSB-QW-15-5</v>
          </cell>
          <cell r="AT2" t="str">
            <v>BE-JSTSB-QW-15-8</v>
          </cell>
          <cell r="AU2" t="str">
            <v>BE-JSTSB-QW-15-12</v>
          </cell>
          <cell r="AV2" t="str">
            <v>BE-JSTSB-QW-16-5</v>
          </cell>
          <cell r="AW2" t="str">
            <v>BE-JSTSB-QW-16-8</v>
          </cell>
          <cell r="AX2" t="str">
            <v>BE-JSTSB-QW-16-12</v>
          </cell>
          <cell r="AY2" t="str">
            <v>BE-JSTSB-QW-17-5</v>
          </cell>
          <cell r="AZ2" t="str">
            <v>BE-JSTSB-QW-17-8</v>
          </cell>
          <cell r="BA2" t="str">
            <v>BE-JSTSB-QW-17-12</v>
          </cell>
          <cell r="BB2" t="str">
            <v>BE-JSTSB-QW-18-5</v>
          </cell>
          <cell r="BC2" t="str">
            <v>BE-JSTSB-QW-18-8</v>
          </cell>
          <cell r="BD2" t="str">
            <v>BE-JSTSB-QW-18-12</v>
          </cell>
          <cell r="BE2" t="str">
            <v>BE-JSTSB-QW-19-5</v>
          </cell>
          <cell r="BF2" t="str">
            <v>BE-JSTSB-QW-19-8</v>
          </cell>
          <cell r="BG2" t="str">
            <v>BE-JSTSB-QW-19-12</v>
          </cell>
          <cell r="BH2" t="str">
            <v>BE-JSTSB-QW-20-5</v>
          </cell>
          <cell r="BI2" t="str">
            <v>BE-JSTSB-QW-20-8</v>
          </cell>
          <cell r="BJ2" t="str">
            <v>BE-JSTSB-QW-20-12</v>
          </cell>
        </row>
        <row r="3">
          <cell r="A3" t="str">
            <v>扬程</v>
          </cell>
          <cell r="C3">
            <v>5</v>
          </cell>
          <cell r="D3">
            <v>8</v>
          </cell>
          <cell r="E3">
            <v>12</v>
          </cell>
          <cell r="F3">
            <v>5</v>
          </cell>
          <cell r="G3">
            <v>8</v>
          </cell>
          <cell r="H3">
            <v>12</v>
          </cell>
          <cell r="I3">
            <v>5</v>
          </cell>
          <cell r="J3">
            <v>8</v>
          </cell>
          <cell r="K3">
            <v>12</v>
          </cell>
          <cell r="L3">
            <v>5</v>
          </cell>
          <cell r="M3">
            <v>8</v>
          </cell>
          <cell r="N3">
            <v>12</v>
          </cell>
          <cell r="O3">
            <v>5</v>
          </cell>
          <cell r="P3">
            <v>8</v>
          </cell>
          <cell r="Q3">
            <v>12</v>
          </cell>
          <cell r="R3">
            <v>5</v>
          </cell>
          <cell r="S3">
            <v>8</v>
          </cell>
          <cell r="T3">
            <v>12</v>
          </cell>
          <cell r="U3">
            <v>5</v>
          </cell>
          <cell r="V3">
            <v>8</v>
          </cell>
          <cell r="W3">
            <v>12</v>
          </cell>
          <cell r="X3">
            <v>5</v>
          </cell>
          <cell r="Y3">
            <v>8</v>
          </cell>
          <cell r="Z3">
            <v>12</v>
          </cell>
          <cell r="AA3">
            <v>5</v>
          </cell>
          <cell r="AB3">
            <v>8</v>
          </cell>
          <cell r="AC3">
            <v>12</v>
          </cell>
          <cell r="AD3">
            <v>5</v>
          </cell>
          <cell r="AE3">
            <v>8</v>
          </cell>
          <cell r="AF3">
            <v>12</v>
          </cell>
          <cell r="AG3">
            <v>5</v>
          </cell>
          <cell r="AH3">
            <v>8</v>
          </cell>
          <cell r="AI3">
            <v>12</v>
          </cell>
          <cell r="AJ3">
            <v>5</v>
          </cell>
          <cell r="AK3">
            <v>8</v>
          </cell>
          <cell r="AL3">
            <v>12</v>
          </cell>
          <cell r="AM3">
            <v>5</v>
          </cell>
          <cell r="AN3">
            <v>8</v>
          </cell>
          <cell r="AO3">
            <v>12</v>
          </cell>
          <cell r="AP3">
            <v>5</v>
          </cell>
          <cell r="AQ3">
            <v>8</v>
          </cell>
          <cell r="AR3">
            <v>12</v>
          </cell>
          <cell r="AS3">
            <v>5</v>
          </cell>
          <cell r="AT3">
            <v>8</v>
          </cell>
          <cell r="AU3">
            <v>12</v>
          </cell>
          <cell r="AV3">
            <v>5</v>
          </cell>
          <cell r="AW3">
            <v>8</v>
          </cell>
          <cell r="AX3">
            <v>12</v>
          </cell>
          <cell r="AY3">
            <v>5</v>
          </cell>
          <cell r="AZ3">
            <v>8</v>
          </cell>
          <cell r="BA3">
            <v>12</v>
          </cell>
          <cell r="BB3">
            <v>5</v>
          </cell>
          <cell r="BC3">
            <v>8</v>
          </cell>
          <cell r="BD3">
            <v>12</v>
          </cell>
          <cell r="BE3">
            <v>5</v>
          </cell>
          <cell r="BF3">
            <v>8</v>
          </cell>
          <cell r="BG3">
            <v>12</v>
          </cell>
          <cell r="BH3">
            <v>5</v>
          </cell>
          <cell r="BI3">
            <v>8</v>
          </cell>
          <cell r="BJ3">
            <v>12</v>
          </cell>
        </row>
        <row r="4">
          <cell r="A4" t="str">
            <v>水泵运行数量</v>
          </cell>
          <cell r="C4">
            <v>3</v>
          </cell>
          <cell r="D4">
            <v>3</v>
          </cell>
          <cell r="E4">
            <v>3</v>
          </cell>
          <cell r="F4">
            <v>3</v>
          </cell>
          <cell r="G4">
            <v>3</v>
          </cell>
          <cell r="H4">
            <v>3</v>
          </cell>
          <cell r="I4">
            <v>3</v>
          </cell>
          <cell r="J4">
            <v>3</v>
          </cell>
          <cell r="K4">
            <v>3</v>
          </cell>
          <cell r="L4">
            <v>3</v>
          </cell>
          <cell r="M4">
            <v>3</v>
          </cell>
          <cell r="N4">
            <v>3</v>
          </cell>
          <cell r="O4">
            <v>3</v>
          </cell>
          <cell r="P4">
            <v>3</v>
          </cell>
          <cell r="Q4">
            <v>3</v>
          </cell>
          <cell r="R4">
            <v>4</v>
          </cell>
          <cell r="S4">
            <v>4</v>
          </cell>
          <cell r="T4">
            <v>4</v>
          </cell>
          <cell r="U4">
            <v>4</v>
          </cell>
          <cell r="V4">
            <v>4</v>
          </cell>
          <cell r="W4">
            <v>4</v>
          </cell>
          <cell r="X4">
            <v>4</v>
          </cell>
          <cell r="Y4">
            <v>4</v>
          </cell>
          <cell r="Z4">
            <v>4</v>
          </cell>
          <cell r="AA4">
            <v>4</v>
          </cell>
          <cell r="AB4">
            <v>4</v>
          </cell>
          <cell r="AC4">
            <v>4</v>
          </cell>
          <cell r="AD4">
            <v>4</v>
          </cell>
          <cell r="AE4">
            <v>4</v>
          </cell>
          <cell r="AF4">
            <v>4</v>
          </cell>
          <cell r="AG4">
            <v>5</v>
          </cell>
          <cell r="AH4">
            <v>5</v>
          </cell>
          <cell r="AI4">
            <v>5</v>
          </cell>
          <cell r="AJ4">
            <v>5</v>
          </cell>
          <cell r="AK4">
            <v>5</v>
          </cell>
          <cell r="AL4">
            <v>5</v>
          </cell>
          <cell r="AM4">
            <v>5</v>
          </cell>
          <cell r="AN4">
            <v>5</v>
          </cell>
          <cell r="AO4">
            <v>5</v>
          </cell>
          <cell r="AP4">
            <v>5</v>
          </cell>
          <cell r="AQ4">
            <v>5</v>
          </cell>
          <cell r="AR4">
            <v>5</v>
          </cell>
          <cell r="AS4">
            <v>5</v>
          </cell>
          <cell r="AT4">
            <v>5</v>
          </cell>
          <cell r="AU4">
            <v>5</v>
          </cell>
          <cell r="AV4">
            <v>5</v>
          </cell>
          <cell r="AW4">
            <v>5</v>
          </cell>
          <cell r="AX4">
            <v>5</v>
          </cell>
          <cell r="AY4">
            <v>5</v>
          </cell>
          <cell r="AZ4">
            <v>5</v>
          </cell>
          <cell r="BA4">
            <v>5</v>
          </cell>
          <cell r="BB4">
            <v>5</v>
          </cell>
          <cell r="BC4">
            <v>5</v>
          </cell>
          <cell r="BD4">
            <v>5</v>
          </cell>
          <cell r="BE4">
            <v>5</v>
          </cell>
          <cell r="BF4">
            <v>5</v>
          </cell>
          <cell r="BG4">
            <v>5</v>
          </cell>
          <cell r="BH4">
            <v>5</v>
          </cell>
          <cell r="BI4">
            <v>5</v>
          </cell>
          <cell r="BJ4">
            <v>5</v>
          </cell>
        </row>
        <row r="5">
          <cell r="A5" t="str">
            <v>水泵备用数量</v>
          </cell>
          <cell r="C5">
            <v>1</v>
          </cell>
          <cell r="D5">
            <v>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J5">
            <v>1</v>
          </cell>
          <cell r="K5">
            <v>1</v>
          </cell>
          <cell r="L5">
            <v>1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1</v>
          </cell>
          <cell r="S5">
            <v>1</v>
          </cell>
          <cell r="T5">
            <v>1</v>
          </cell>
          <cell r="U5">
            <v>1</v>
          </cell>
          <cell r="V5">
            <v>1</v>
          </cell>
          <cell r="W5">
            <v>1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>
            <v>1</v>
          </cell>
          <cell r="AC5">
            <v>1</v>
          </cell>
          <cell r="AD5">
            <v>1</v>
          </cell>
          <cell r="AE5">
            <v>1</v>
          </cell>
          <cell r="AF5">
            <v>1</v>
          </cell>
          <cell r="AG5">
            <v>2</v>
          </cell>
          <cell r="AH5">
            <v>2</v>
          </cell>
          <cell r="AI5">
            <v>2</v>
          </cell>
          <cell r="AJ5">
            <v>2</v>
          </cell>
          <cell r="AK5">
            <v>2</v>
          </cell>
          <cell r="AL5">
            <v>2</v>
          </cell>
          <cell r="AM5">
            <v>2</v>
          </cell>
          <cell r="AN5">
            <v>2</v>
          </cell>
          <cell r="AO5">
            <v>2</v>
          </cell>
          <cell r="AP5">
            <v>2</v>
          </cell>
          <cell r="AQ5">
            <v>2</v>
          </cell>
          <cell r="AR5">
            <v>2</v>
          </cell>
          <cell r="AS5">
            <v>2</v>
          </cell>
          <cell r="AT5">
            <v>2</v>
          </cell>
          <cell r="AU5">
            <v>2</v>
          </cell>
          <cell r="AV5">
            <v>2</v>
          </cell>
          <cell r="AW5">
            <v>2</v>
          </cell>
          <cell r="AX5">
            <v>2</v>
          </cell>
          <cell r="AY5">
            <v>2</v>
          </cell>
          <cell r="AZ5">
            <v>2</v>
          </cell>
          <cell r="BA5">
            <v>2</v>
          </cell>
          <cell r="BB5">
            <v>2</v>
          </cell>
          <cell r="BC5">
            <v>2</v>
          </cell>
          <cell r="BD5">
            <v>2</v>
          </cell>
          <cell r="BE5">
            <v>2</v>
          </cell>
          <cell r="BF5">
            <v>2</v>
          </cell>
          <cell r="BG5">
            <v>2</v>
          </cell>
          <cell r="BH5">
            <v>2</v>
          </cell>
          <cell r="BI5">
            <v>2</v>
          </cell>
          <cell r="BJ5">
            <v>2</v>
          </cell>
        </row>
        <row r="6">
          <cell r="A6" t="str">
            <v>水泵电机功率</v>
          </cell>
          <cell r="C6">
            <v>7.5</v>
          </cell>
          <cell r="D6">
            <v>7.5</v>
          </cell>
          <cell r="E6">
            <v>13.5</v>
          </cell>
          <cell r="F6">
            <v>9</v>
          </cell>
          <cell r="G6">
            <v>15</v>
          </cell>
          <cell r="H6">
            <v>22</v>
          </cell>
          <cell r="I6">
            <v>15</v>
          </cell>
          <cell r="J6">
            <v>22</v>
          </cell>
          <cell r="K6">
            <v>45</v>
          </cell>
          <cell r="L6">
            <v>22</v>
          </cell>
          <cell r="M6">
            <v>37</v>
          </cell>
          <cell r="N6">
            <v>37</v>
          </cell>
          <cell r="O6">
            <v>22</v>
          </cell>
          <cell r="P6">
            <v>37</v>
          </cell>
          <cell r="Q6">
            <v>45</v>
          </cell>
          <cell r="R6">
            <v>22</v>
          </cell>
          <cell r="S6">
            <v>30</v>
          </cell>
          <cell r="T6">
            <v>45</v>
          </cell>
          <cell r="U6">
            <v>30</v>
          </cell>
          <cell r="V6">
            <v>45</v>
          </cell>
          <cell r="W6">
            <v>55</v>
          </cell>
          <cell r="X6">
            <v>37</v>
          </cell>
          <cell r="Y6">
            <v>45</v>
          </cell>
          <cell r="Z6">
            <v>62</v>
          </cell>
          <cell r="AA6">
            <v>40</v>
          </cell>
          <cell r="AB6">
            <v>60</v>
          </cell>
          <cell r="AC6">
            <v>75</v>
          </cell>
          <cell r="AD6">
            <v>30</v>
          </cell>
          <cell r="AE6">
            <v>60</v>
          </cell>
          <cell r="AF6">
            <v>90</v>
          </cell>
          <cell r="AG6">
            <v>37</v>
          </cell>
          <cell r="AH6">
            <v>40</v>
          </cell>
          <cell r="AI6">
            <v>90</v>
          </cell>
          <cell r="AJ6">
            <v>30</v>
          </cell>
          <cell r="AK6">
            <v>60</v>
          </cell>
          <cell r="AL6">
            <v>90</v>
          </cell>
          <cell r="AM6">
            <v>40</v>
          </cell>
          <cell r="AN6">
            <v>90</v>
          </cell>
          <cell r="AO6">
            <v>90</v>
          </cell>
          <cell r="AP6">
            <v>40</v>
          </cell>
          <cell r="AQ6">
            <v>60</v>
          </cell>
          <cell r="AR6">
            <v>90</v>
          </cell>
          <cell r="AS6">
            <v>60</v>
          </cell>
          <cell r="AT6">
            <v>90</v>
          </cell>
          <cell r="AU6">
            <v>90</v>
          </cell>
          <cell r="AV6">
            <v>60</v>
          </cell>
          <cell r="AW6">
            <v>90</v>
          </cell>
          <cell r="AX6">
            <v>90</v>
          </cell>
          <cell r="AY6">
            <v>60</v>
          </cell>
          <cell r="AZ6">
            <v>90</v>
          </cell>
          <cell r="BA6">
            <v>125</v>
          </cell>
          <cell r="BB6">
            <v>40</v>
          </cell>
          <cell r="BC6">
            <v>90</v>
          </cell>
          <cell r="BD6">
            <v>125</v>
          </cell>
          <cell r="BE6">
            <v>60</v>
          </cell>
          <cell r="BF6">
            <v>80</v>
          </cell>
          <cell r="BG6">
            <v>110</v>
          </cell>
          <cell r="BH6">
            <v>60</v>
          </cell>
          <cell r="BI6">
            <v>80</v>
          </cell>
          <cell r="BJ6">
            <v>110</v>
          </cell>
        </row>
        <row r="7">
          <cell r="A7" t="str">
            <v>过水孔宽</v>
          </cell>
          <cell r="C7">
            <v>0.5</v>
          </cell>
          <cell r="D7">
            <v>0.5</v>
          </cell>
          <cell r="E7">
            <v>0.5</v>
          </cell>
          <cell r="F7">
            <v>0.6</v>
          </cell>
          <cell r="G7">
            <v>0.6</v>
          </cell>
          <cell r="H7">
            <v>0.6</v>
          </cell>
          <cell r="I7">
            <v>0.7</v>
          </cell>
          <cell r="J7">
            <v>0.7</v>
          </cell>
          <cell r="K7">
            <v>0.7</v>
          </cell>
          <cell r="L7">
            <v>0.8</v>
          </cell>
          <cell r="M7">
            <v>0.8</v>
          </cell>
          <cell r="N7">
            <v>0.8</v>
          </cell>
          <cell r="O7">
            <v>0.9</v>
          </cell>
          <cell r="P7">
            <v>0.9</v>
          </cell>
          <cell r="Q7">
            <v>0.9</v>
          </cell>
          <cell r="R7">
            <v>1</v>
          </cell>
          <cell r="S7">
            <v>1</v>
          </cell>
          <cell r="T7">
            <v>1</v>
          </cell>
          <cell r="U7">
            <v>1</v>
          </cell>
          <cell r="V7">
            <v>1</v>
          </cell>
          <cell r="W7">
            <v>1</v>
          </cell>
          <cell r="X7">
            <v>1.1000000000000001</v>
          </cell>
          <cell r="Y7">
            <v>1.1000000000000001</v>
          </cell>
          <cell r="Z7">
            <v>1.1000000000000001</v>
          </cell>
          <cell r="AA7">
            <v>1.2</v>
          </cell>
          <cell r="AB7">
            <v>1.2</v>
          </cell>
          <cell r="AC7">
            <v>1.2</v>
          </cell>
          <cell r="AD7">
            <v>1.2</v>
          </cell>
          <cell r="AE7">
            <v>1.2</v>
          </cell>
          <cell r="AF7">
            <v>1.2</v>
          </cell>
          <cell r="AG7">
            <v>1.3</v>
          </cell>
          <cell r="AH7">
            <v>1.3</v>
          </cell>
          <cell r="AI7">
            <v>1.3</v>
          </cell>
          <cell r="AJ7">
            <v>1.4</v>
          </cell>
          <cell r="AK7">
            <v>1.4</v>
          </cell>
          <cell r="AL7">
            <v>1.4</v>
          </cell>
          <cell r="AM7">
            <v>1.4</v>
          </cell>
          <cell r="AN7">
            <v>1.4</v>
          </cell>
          <cell r="AO7">
            <v>1.4</v>
          </cell>
          <cell r="AP7">
            <v>1.5</v>
          </cell>
          <cell r="AQ7">
            <v>1.5</v>
          </cell>
          <cell r="AR7">
            <v>1.5</v>
          </cell>
          <cell r="AS7">
            <v>1.5</v>
          </cell>
          <cell r="AT7">
            <v>1.5</v>
          </cell>
          <cell r="AU7">
            <v>1.5</v>
          </cell>
          <cell r="AV7">
            <v>1.6</v>
          </cell>
          <cell r="AW7">
            <v>1.6</v>
          </cell>
          <cell r="AX7">
            <v>1.6</v>
          </cell>
          <cell r="AY7">
            <v>1.6</v>
          </cell>
          <cell r="AZ7">
            <v>1.6</v>
          </cell>
          <cell r="BA7">
            <v>1.6</v>
          </cell>
          <cell r="BB7">
            <v>1.7</v>
          </cell>
          <cell r="BC7">
            <v>1.7</v>
          </cell>
          <cell r="BD7">
            <v>1.7</v>
          </cell>
          <cell r="BE7">
            <v>1.7</v>
          </cell>
          <cell r="BF7">
            <v>1.7</v>
          </cell>
          <cell r="BG7">
            <v>1.7</v>
          </cell>
          <cell r="BH7">
            <v>1.7</v>
          </cell>
          <cell r="BI7">
            <v>1.7</v>
          </cell>
          <cell r="BJ7">
            <v>1.7</v>
          </cell>
        </row>
        <row r="8">
          <cell r="A8" t="str">
            <v>过水孔高</v>
          </cell>
          <cell r="C8">
            <v>0.5</v>
          </cell>
          <cell r="D8">
            <v>0.5</v>
          </cell>
          <cell r="E8">
            <v>0.5</v>
          </cell>
          <cell r="F8">
            <v>0.6</v>
          </cell>
          <cell r="G8">
            <v>0.6</v>
          </cell>
          <cell r="H8">
            <v>0.6</v>
          </cell>
          <cell r="I8">
            <v>0.7</v>
          </cell>
          <cell r="J8">
            <v>0.7</v>
          </cell>
          <cell r="K8">
            <v>0.7</v>
          </cell>
          <cell r="L8">
            <v>0.8</v>
          </cell>
          <cell r="M8">
            <v>0.8</v>
          </cell>
          <cell r="N8">
            <v>0.8</v>
          </cell>
          <cell r="O8">
            <v>0.9</v>
          </cell>
          <cell r="P8">
            <v>0.9</v>
          </cell>
          <cell r="Q8">
            <v>0.9</v>
          </cell>
          <cell r="R8">
            <v>1</v>
          </cell>
          <cell r="S8">
            <v>1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  <cell r="X8">
            <v>1.1000000000000001</v>
          </cell>
          <cell r="Y8">
            <v>1.1000000000000001</v>
          </cell>
          <cell r="Z8">
            <v>1.1000000000000001</v>
          </cell>
          <cell r="AA8">
            <v>1.2</v>
          </cell>
          <cell r="AB8">
            <v>1.2</v>
          </cell>
          <cell r="AC8">
            <v>1.2</v>
          </cell>
          <cell r="AD8">
            <v>1.2</v>
          </cell>
          <cell r="AE8">
            <v>1.2</v>
          </cell>
          <cell r="AF8">
            <v>1.2</v>
          </cell>
          <cell r="AG8">
            <v>1.3</v>
          </cell>
          <cell r="AH8">
            <v>1.3</v>
          </cell>
          <cell r="AI8">
            <v>1.3</v>
          </cell>
          <cell r="AJ8">
            <v>1.4</v>
          </cell>
          <cell r="AK8">
            <v>1.4</v>
          </cell>
          <cell r="AL8">
            <v>1.4</v>
          </cell>
          <cell r="AM8">
            <v>1.4</v>
          </cell>
          <cell r="AN8">
            <v>1.4</v>
          </cell>
          <cell r="AO8">
            <v>1.4</v>
          </cell>
          <cell r="AP8">
            <v>1.5</v>
          </cell>
          <cell r="AQ8">
            <v>1.5</v>
          </cell>
          <cell r="AR8">
            <v>1.5</v>
          </cell>
          <cell r="AS8">
            <v>1.5</v>
          </cell>
          <cell r="AT8">
            <v>1.5</v>
          </cell>
          <cell r="AU8">
            <v>1.5</v>
          </cell>
          <cell r="AV8">
            <v>1.6</v>
          </cell>
          <cell r="AW8">
            <v>1.6</v>
          </cell>
          <cell r="AX8">
            <v>1.6</v>
          </cell>
          <cell r="AY8">
            <v>1.6</v>
          </cell>
          <cell r="AZ8">
            <v>1.6</v>
          </cell>
          <cell r="BA8">
            <v>1.6</v>
          </cell>
          <cell r="BB8">
            <v>1.7</v>
          </cell>
          <cell r="BC8">
            <v>1.7</v>
          </cell>
          <cell r="BD8">
            <v>1.7</v>
          </cell>
          <cell r="BE8">
            <v>1.7</v>
          </cell>
          <cell r="BF8">
            <v>1.7</v>
          </cell>
          <cell r="BG8">
            <v>1.7</v>
          </cell>
          <cell r="BH8">
            <v>1.7</v>
          </cell>
          <cell r="BI8">
            <v>1.7</v>
          </cell>
          <cell r="BJ8">
            <v>1.7</v>
          </cell>
        </row>
        <row r="9">
          <cell r="A9" t="str">
            <v>集水池停留时间</v>
          </cell>
          <cell r="C9">
            <v>4</v>
          </cell>
          <cell r="D9">
            <v>4</v>
          </cell>
          <cell r="E9">
            <v>4</v>
          </cell>
          <cell r="F9">
            <v>4</v>
          </cell>
          <cell r="G9">
            <v>4</v>
          </cell>
          <cell r="H9">
            <v>4</v>
          </cell>
          <cell r="I9">
            <v>6</v>
          </cell>
          <cell r="J9">
            <v>6</v>
          </cell>
          <cell r="K9">
            <v>6</v>
          </cell>
          <cell r="L9">
            <v>6</v>
          </cell>
          <cell r="M9">
            <v>6</v>
          </cell>
          <cell r="N9">
            <v>6</v>
          </cell>
          <cell r="O9">
            <v>6</v>
          </cell>
          <cell r="P9">
            <v>6</v>
          </cell>
          <cell r="Q9">
            <v>6</v>
          </cell>
          <cell r="R9">
            <v>6</v>
          </cell>
          <cell r="S9">
            <v>6</v>
          </cell>
          <cell r="T9">
            <v>6</v>
          </cell>
          <cell r="U9">
            <v>6</v>
          </cell>
          <cell r="V9">
            <v>6</v>
          </cell>
          <cell r="W9">
            <v>6</v>
          </cell>
          <cell r="X9">
            <v>6</v>
          </cell>
          <cell r="Y9">
            <v>6</v>
          </cell>
          <cell r="Z9">
            <v>6</v>
          </cell>
          <cell r="AA9">
            <v>6</v>
          </cell>
          <cell r="AB9">
            <v>6</v>
          </cell>
          <cell r="AC9">
            <v>6</v>
          </cell>
          <cell r="AD9">
            <v>6</v>
          </cell>
          <cell r="AE9">
            <v>6</v>
          </cell>
          <cell r="AF9">
            <v>6</v>
          </cell>
          <cell r="AG9">
            <v>6</v>
          </cell>
          <cell r="AH9">
            <v>6</v>
          </cell>
          <cell r="AI9">
            <v>6</v>
          </cell>
          <cell r="AJ9">
            <v>6</v>
          </cell>
          <cell r="AK9">
            <v>6</v>
          </cell>
          <cell r="AL9">
            <v>6</v>
          </cell>
          <cell r="AM9">
            <v>6</v>
          </cell>
          <cell r="AN9">
            <v>6</v>
          </cell>
          <cell r="AO9">
            <v>6</v>
          </cell>
          <cell r="AP9">
            <v>6</v>
          </cell>
          <cell r="AQ9">
            <v>6</v>
          </cell>
          <cell r="AR9">
            <v>6</v>
          </cell>
          <cell r="AS9">
            <v>6</v>
          </cell>
          <cell r="AT9">
            <v>6</v>
          </cell>
          <cell r="AU9">
            <v>6</v>
          </cell>
          <cell r="AV9">
            <v>6</v>
          </cell>
          <cell r="AW9">
            <v>6</v>
          </cell>
          <cell r="AX9">
            <v>6</v>
          </cell>
          <cell r="AY9">
            <v>6</v>
          </cell>
          <cell r="AZ9">
            <v>6</v>
          </cell>
          <cell r="BA9">
            <v>6</v>
          </cell>
          <cell r="BB9">
            <v>6</v>
          </cell>
          <cell r="BC9">
            <v>6</v>
          </cell>
          <cell r="BD9">
            <v>6</v>
          </cell>
          <cell r="BE9">
            <v>6</v>
          </cell>
          <cell r="BF9">
            <v>6</v>
          </cell>
          <cell r="BG9">
            <v>6</v>
          </cell>
          <cell r="BH9">
            <v>6</v>
          </cell>
          <cell r="BI9">
            <v>6</v>
          </cell>
          <cell r="BJ9">
            <v>6</v>
          </cell>
        </row>
        <row r="10">
          <cell r="A10" t="str">
            <v>集水池有效水深h1</v>
          </cell>
          <cell r="C10">
            <v>1.2</v>
          </cell>
          <cell r="D10">
            <v>1.2</v>
          </cell>
          <cell r="E10">
            <v>1.2</v>
          </cell>
          <cell r="F10">
            <v>1.2</v>
          </cell>
          <cell r="G10">
            <v>1.2</v>
          </cell>
          <cell r="H10">
            <v>1.2</v>
          </cell>
          <cell r="I10">
            <v>1.2</v>
          </cell>
          <cell r="J10">
            <v>1.2</v>
          </cell>
          <cell r="K10">
            <v>1.2</v>
          </cell>
          <cell r="L10">
            <v>1.2</v>
          </cell>
          <cell r="M10">
            <v>1.2</v>
          </cell>
          <cell r="N10">
            <v>1.2</v>
          </cell>
          <cell r="O10">
            <v>1.2</v>
          </cell>
          <cell r="P10">
            <v>1.2</v>
          </cell>
          <cell r="Q10">
            <v>1.2</v>
          </cell>
          <cell r="R10">
            <v>1.2</v>
          </cell>
          <cell r="S10">
            <v>1.2</v>
          </cell>
          <cell r="T10">
            <v>1.2</v>
          </cell>
          <cell r="U10">
            <v>1.2</v>
          </cell>
          <cell r="V10">
            <v>1.2</v>
          </cell>
          <cell r="W10">
            <v>1.2</v>
          </cell>
          <cell r="X10">
            <v>1.2</v>
          </cell>
          <cell r="Y10">
            <v>1.2</v>
          </cell>
          <cell r="Z10">
            <v>1.2</v>
          </cell>
          <cell r="AA10">
            <v>1.2</v>
          </cell>
          <cell r="AB10">
            <v>1.2</v>
          </cell>
          <cell r="AC10">
            <v>1.2</v>
          </cell>
          <cell r="AD10">
            <v>1.2</v>
          </cell>
          <cell r="AE10">
            <v>1.2</v>
          </cell>
          <cell r="AF10">
            <v>1.2</v>
          </cell>
          <cell r="AG10">
            <v>1.2</v>
          </cell>
          <cell r="AH10">
            <v>1.2</v>
          </cell>
          <cell r="AI10">
            <v>1.2</v>
          </cell>
          <cell r="AJ10">
            <v>1.2</v>
          </cell>
          <cell r="AK10">
            <v>1.2</v>
          </cell>
          <cell r="AL10">
            <v>1.2</v>
          </cell>
          <cell r="AM10">
            <v>1.2</v>
          </cell>
          <cell r="AN10">
            <v>1.2</v>
          </cell>
          <cell r="AO10">
            <v>1.2</v>
          </cell>
          <cell r="AP10">
            <v>1.2</v>
          </cell>
          <cell r="AQ10">
            <v>1.2</v>
          </cell>
          <cell r="AR10">
            <v>1.2</v>
          </cell>
          <cell r="AS10">
            <v>1.2</v>
          </cell>
          <cell r="AT10">
            <v>1.2</v>
          </cell>
          <cell r="AU10">
            <v>1.2</v>
          </cell>
          <cell r="AV10">
            <v>1.2</v>
          </cell>
          <cell r="AW10">
            <v>1.2</v>
          </cell>
          <cell r="AX10">
            <v>1.2</v>
          </cell>
          <cell r="AY10">
            <v>1.2</v>
          </cell>
          <cell r="AZ10">
            <v>1.2</v>
          </cell>
          <cell r="BA10">
            <v>1.2</v>
          </cell>
          <cell r="BB10">
            <v>1.2</v>
          </cell>
          <cell r="BC10">
            <v>1.2</v>
          </cell>
          <cell r="BD10">
            <v>1.2</v>
          </cell>
          <cell r="BE10">
            <v>1.2</v>
          </cell>
          <cell r="BF10">
            <v>1.2</v>
          </cell>
          <cell r="BG10">
            <v>1.2</v>
          </cell>
          <cell r="BH10">
            <v>1.2</v>
          </cell>
          <cell r="BI10">
            <v>1.2</v>
          </cell>
          <cell r="BJ10">
            <v>1.2</v>
          </cell>
        </row>
        <row r="11">
          <cell r="A11" t="str">
            <v>水泵保护液位h2</v>
          </cell>
          <cell r="C11">
            <v>1.6</v>
          </cell>
          <cell r="D11">
            <v>1.6</v>
          </cell>
          <cell r="E11">
            <v>1.6</v>
          </cell>
          <cell r="F11">
            <v>1.8</v>
          </cell>
          <cell r="G11">
            <v>1.8</v>
          </cell>
          <cell r="H11">
            <v>1.8</v>
          </cell>
          <cell r="I11">
            <v>2</v>
          </cell>
          <cell r="J11">
            <v>2</v>
          </cell>
          <cell r="K11">
            <v>2</v>
          </cell>
          <cell r="L11">
            <v>2</v>
          </cell>
          <cell r="M11">
            <v>2</v>
          </cell>
          <cell r="N11">
            <v>2</v>
          </cell>
          <cell r="O11">
            <v>2</v>
          </cell>
          <cell r="P11">
            <v>2</v>
          </cell>
          <cell r="Q11">
            <v>2</v>
          </cell>
          <cell r="R11">
            <v>2</v>
          </cell>
          <cell r="S11">
            <v>2</v>
          </cell>
          <cell r="T11">
            <v>2</v>
          </cell>
          <cell r="U11">
            <v>2</v>
          </cell>
          <cell r="V11">
            <v>2</v>
          </cell>
          <cell r="W11">
            <v>2</v>
          </cell>
          <cell r="X11">
            <v>2.5</v>
          </cell>
          <cell r="Y11">
            <v>2.5</v>
          </cell>
          <cell r="Z11">
            <v>2.5</v>
          </cell>
          <cell r="AA11">
            <v>2.5</v>
          </cell>
          <cell r="AB11">
            <v>2.5</v>
          </cell>
          <cell r="AC11">
            <v>2.5</v>
          </cell>
          <cell r="AD11">
            <v>2.8</v>
          </cell>
          <cell r="AE11">
            <v>2.8</v>
          </cell>
          <cell r="AF11">
            <v>2.8</v>
          </cell>
          <cell r="AG11">
            <v>2.8</v>
          </cell>
          <cell r="AH11">
            <v>2.8</v>
          </cell>
          <cell r="AI11">
            <v>2.8</v>
          </cell>
          <cell r="AJ11">
            <v>2.8</v>
          </cell>
          <cell r="AK11">
            <v>2.8</v>
          </cell>
          <cell r="AL11">
            <v>2.8</v>
          </cell>
          <cell r="AM11">
            <v>2.8</v>
          </cell>
          <cell r="AN11">
            <v>2.8</v>
          </cell>
          <cell r="AO11">
            <v>2.8</v>
          </cell>
          <cell r="AP11">
            <v>2.8</v>
          </cell>
          <cell r="AQ11">
            <v>2.8</v>
          </cell>
          <cell r="AR11">
            <v>2.8</v>
          </cell>
          <cell r="AS11">
            <v>2.8</v>
          </cell>
          <cell r="AT11">
            <v>2.8</v>
          </cell>
          <cell r="AU11">
            <v>2.8</v>
          </cell>
          <cell r="AV11">
            <v>3</v>
          </cell>
          <cell r="AW11">
            <v>3</v>
          </cell>
          <cell r="AX11">
            <v>3</v>
          </cell>
          <cell r="AY11">
            <v>3</v>
          </cell>
          <cell r="AZ11">
            <v>3</v>
          </cell>
          <cell r="BA11">
            <v>3</v>
          </cell>
          <cell r="BB11">
            <v>3</v>
          </cell>
          <cell r="BC11">
            <v>3</v>
          </cell>
          <cell r="BD11">
            <v>3</v>
          </cell>
          <cell r="BE11">
            <v>3</v>
          </cell>
          <cell r="BF11">
            <v>3</v>
          </cell>
          <cell r="BG11">
            <v>3</v>
          </cell>
          <cell r="BH11">
            <v>3</v>
          </cell>
          <cell r="BI11">
            <v>3</v>
          </cell>
          <cell r="BJ11">
            <v>3</v>
          </cell>
        </row>
        <row r="12">
          <cell r="A12" t="str">
            <v>集水池地面超高h3</v>
          </cell>
          <cell r="C12">
            <v>0.3</v>
          </cell>
          <cell r="D12">
            <v>0.3</v>
          </cell>
          <cell r="E12">
            <v>0.3</v>
          </cell>
          <cell r="F12">
            <v>0.3</v>
          </cell>
          <cell r="G12">
            <v>0.3</v>
          </cell>
          <cell r="H12">
            <v>0.3</v>
          </cell>
          <cell r="I12">
            <v>0.3</v>
          </cell>
          <cell r="J12">
            <v>0.3</v>
          </cell>
          <cell r="K12">
            <v>0.3</v>
          </cell>
          <cell r="L12">
            <v>0.3</v>
          </cell>
          <cell r="M12">
            <v>0.3</v>
          </cell>
          <cell r="N12">
            <v>0.3</v>
          </cell>
          <cell r="O12">
            <v>0.3</v>
          </cell>
          <cell r="P12">
            <v>0.3</v>
          </cell>
          <cell r="Q12">
            <v>0.3</v>
          </cell>
          <cell r="R12">
            <v>0.3</v>
          </cell>
          <cell r="S12">
            <v>0.3</v>
          </cell>
          <cell r="T12">
            <v>0.3</v>
          </cell>
          <cell r="U12">
            <v>0.3</v>
          </cell>
          <cell r="V12">
            <v>0.3</v>
          </cell>
          <cell r="W12">
            <v>0.3</v>
          </cell>
          <cell r="X12">
            <v>0.3</v>
          </cell>
          <cell r="Y12">
            <v>0.3</v>
          </cell>
          <cell r="Z12">
            <v>0.3</v>
          </cell>
          <cell r="AA12">
            <v>0.3</v>
          </cell>
          <cell r="AB12">
            <v>0.3</v>
          </cell>
          <cell r="AC12">
            <v>0.3</v>
          </cell>
          <cell r="AD12">
            <v>0.3</v>
          </cell>
          <cell r="AE12">
            <v>0.3</v>
          </cell>
          <cell r="AF12">
            <v>0.3</v>
          </cell>
          <cell r="AG12">
            <v>0.3</v>
          </cell>
          <cell r="AH12">
            <v>0.3</v>
          </cell>
          <cell r="AI12">
            <v>0.3</v>
          </cell>
          <cell r="AJ12">
            <v>0.3</v>
          </cell>
          <cell r="AK12">
            <v>0.3</v>
          </cell>
          <cell r="AL12">
            <v>0.3</v>
          </cell>
          <cell r="AM12">
            <v>0.3</v>
          </cell>
          <cell r="AN12">
            <v>0.3</v>
          </cell>
          <cell r="AO12">
            <v>0.3</v>
          </cell>
          <cell r="AP12">
            <v>0.3</v>
          </cell>
          <cell r="AQ12">
            <v>0.3</v>
          </cell>
          <cell r="AR12">
            <v>0.3</v>
          </cell>
          <cell r="AS12">
            <v>0.3</v>
          </cell>
          <cell r="AT12">
            <v>0.3</v>
          </cell>
          <cell r="AU12">
            <v>0.3</v>
          </cell>
          <cell r="AV12">
            <v>0.3</v>
          </cell>
          <cell r="AW12">
            <v>0.3</v>
          </cell>
          <cell r="AX12">
            <v>0.3</v>
          </cell>
          <cell r="AY12">
            <v>0.3</v>
          </cell>
          <cell r="AZ12">
            <v>0.3</v>
          </cell>
          <cell r="BA12">
            <v>0.3</v>
          </cell>
          <cell r="BB12">
            <v>0.3</v>
          </cell>
          <cell r="BC12">
            <v>0.3</v>
          </cell>
          <cell r="BD12">
            <v>0.3</v>
          </cell>
          <cell r="BE12">
            <v>0.3</v>
          </cell>
          <cell r="BF12">
            <v>0.3</v>
          </cell>
          <cell r="BG12">
            <v>0.3</v>
          </cell>
          <cell r="BH12">
            <v>0.3</v>
          </cell>
          <cell r="BI12">
            <v>0.3</v>
          </cell>
          <cell r="BJ12">
            <v>0.3</v>
          </cell>
        </row>
        <row r="13">
          <cell r="A13" t="str">
            <v>集水池长L</v>
          </cell>
          <cell r="C13">
            <v>13.5</v>
          </cell>
          <cell r="D13">
            <v>13.5</v>
          </cell>
          <cell r="E13">
            <v>13.5</v>
          </cell>
          <cell r="F13">
            <v>14.4</v>
          </cell>
          <cell r="G13">
            <v>14.4</v>
          </cell>
          <cell r="H13">
            <v>14.4</v>
          </cell>
          <cell r="I13">
            <v>13.5</v>
          </cell>
          <cell r="J13">
            <v>13.5</v>
          </cell>
          <cell r="K13">
            <v>13.5</v>
          </cell>
          <cell r="L13">
            <v>15.3</v>
          </cell>
          <cell r="M13">
            <v>15.3</v>
          </cell>
          <cell r="N13">
            <v>15.3</v>
          </cell>
          <cell r="O13">
            <v>16.2</v>
          </cell>
          <cell r="P13">
            <v>16.2</v>
          </cell>
          <cell r="Q13">
            <v>16.2</v>
          </cell>
          <cell r="R13">
            <v>15.3</v>
          </cell>
          <cell r="S13">
            <v>15.3</v>
          </cell>
          <cell r="T13">
            <v>15.3</v>
          </cell>
          <cell r="U13">
            <v>16</v>
          </cell>
          <cell r="V13">
            <v>16</v>
          </cell>
          <cell r="W13">
            <v>16</v>
          </cell>
          <cell r="X13">
            <v>16.5</v>
          </cell>
          <cell r="Y13">
            <v>16.5</v>
          </cell>
          <cell r="Z13">
            <v>16.5</v>
          </cell>
          <cell r="AA13">
            <v>17.3</v>
          </cell>
          <cell r="AB13">
            <v>17.3</v>
          </cell>
          <cell r="AC13">
            <v>17.3</v>
          </cell>
          <cell r="AD13">
            <v>18.8</v>
          </cell>
          <cell r="AE13">
            <v>18.8</v>
          </cell>
          <cell r="AF13">
            <v>18.8</v>
          </cell>
          <cell r="AG13">
            <v>17.3</v>
          </cell>
          <cell r="AH13">
            <v>17.3</v>
          </cell>
          <cell r="AI13">
            <v>17.3</v>
          </cell>
          <cell r="AJ13">
            <v>18</v>
          </cell>
          <cell r="AK13">
            <v>18</v>
          </cell>
          <cell r="AL13">
            <v>18</v>
          </cell>
          <cell r="AM13">
            <v>18.8</v>
          </cell>
          <cell r="AN13">
            <v>18.8</v>
          </cell>
          <cell r="AO13">
            <v>18.8</v>
          </cell>
          <cell r="AP13">
            <v>19.5</v>
          </cell>
          <cell r="AQ13">
            <v>19.5</v>
          </cell>
          <cell r="AR13">
            <v>19.5</v>
          </cell>
          <cell r="AS13">
            <v>20.3</v>
          </cell>
          <cell r="AT13">
            <v>20.3</v>
          </cell>
          <cell r="AU13">
            <v>20.3</v>
          </cell>
          <cell r="AV13">
            <v>20.3</v>
          </cell>
          <cell r="AW13">
            <v>20.3</v>
          </cell>
          <cell r="AX13">
            <v>20.3</v>
          </cell>
          <cell r="AY13">
            <v>21</v>
          </cell>
          <cell r="AZ13">
            <v>21</v>
          </cell>
          <cell r="BA13">
            <v>21</v>
          </cell>
          <cell r="BB13">
            <v>20.8</v>
          </cell>
          <cell r="BC13">
            <v>20.8</v>
          </cell>
          <cell r="BD13">
            <v>20.8</v>
          </cell>
          <cell r="BE13">
            <v>20.8</v>
          </cell>
          <cell r="BF13">
            <v>20.8</v>
          </cell>
          <cell r="BG13">
            <v>20.8</v>
          </cell>
          <cell r="BH13">
            <v>21.5</v>
          </cell>
          <cell r="BI13">
            <v>21.5</v>
          </cell>
          <cell r="BJ13">
            <v>21.5</v>
          </cell>
        </row>
        <row r="14">
          <cell r="A14" t="str">
            <v>集水池宽B</v>
          </cell>
          <cell r="C14">
            <v>5.5</v>
          </cell>
          <cell r="D14">
            <v>5.5</v>
          </cell>
          <cell r="E14">
            <v>5.5</v>
          </cell>
          <cell r="F14">
            <v>8</v>
          </cell>
          <cell r="G14">
            <v>8</v>
          </cell>
          <cell r="H14">
            <v>8</v>
          </cell>
          <cell r="I14">
            <v>7.5</v>
          </cell>
          <cell r="J14">
            <v>7.5</v>
          </cell>
          <cell r="K14">
            <v>7.5</v>
          </cell>
          <cell r="L14">
            <v>8.5</v>
          </cell>
          <cell r="M14">
            <v>8.5</v>
          </cell>
          <cell r="N14">
            <v>8.5</v>
          </cell>
          <cell r="O14">
            <v>9.5</v>
          </cell>
          <cell r="P14">
            <v>9.5</v>
          </cell>
          <cell r="Q14">
            <v>9.5</v>
          </cell>
          <cell r="R14">
            <v>9</v>
          </cell>
          <cell r="S14">
            <v>9</v>
          </cell>
          <cell r="T14">
            <v>9</v>
          </cell>
          <cell r="U14">
            <v>10</v>
          </cell>
          <cell r="V14">
            <v>10</v>
          </cell>
          <cell r="W14">
            <v>10</v>
          </cell>
          <cell r="X14">
            <v>11</v>
          </cell>
          <cell r="Y14">
            <v>11</v>
          </cell>
          <cell r="Z14">
            <v>11</v>
          </cell>
          <cell r="AA14">
            <v>11.5</v>
          </cell>
          <cell r="AB14">
            <v>11.5</v>
          </cell>
          <cell r="AC14">
            <v>11.5</v>
          </cell>
          <cell r="AD14">
            <v>12.5</v>
          </cell>
          <cell r="AE14">
            <v>12.5</v>
          </cell>
          <cell r="AF14">
            <v>12.5</v>
          </cell>
          <cell r="AG14">
            <v>11.5</v>
          </cell>
          <cell r="AH14">
            <v>11.5</v>
          </cell>
          <cell r="AI14">
            <v>11.5</v>
          </cell>
          <cell r="AJ14">
            <v>12</v>
          </cell>
          <cell r="AK14">
            <v>12</v>
          </cell>
          <cell r="AL14">
            <v>12</v>
          </cell>
          <cell r="AM14">
            <v>12.5</v>
          </cell>
          <cell r="AN14">
            <v>12.5</v>
          </cell>
          <cell r="AO14">
            <v>12.5</v>
          </cell>
          <cell r="AP14">
            <v>13</v>
          </cell>
          <cell r="AQ14">
            <v>13</v>
          </cell>
          <cell r="AR14">
            <v>13</v>
          </cell>
          <cell r="AS14">
            <v>13.5</v>
          </cell>
          <cell r="AT14">
            <v>13.5</v>
          </cell>
          <cell r="AU14">
            <v>13.5</v>
          </cell>
          <cell r="AV14">
            <v>14.5</v>
          </cell>
          <cell r="AW14">
            <v>14.5</v>
          </cell>
          <cell r="AX14">
            <v>14.5</v>
          </cell>
          <cell r="AY14">
            <v>15</v>
          </cell>
          <cell r="AZ14">
            <v>15</v>
          </cell>
          <cell r="BA14">
            <v>15</v>
          </cell>
          <cell r="BB14">
            <v>16</v>
          </cell>
          <cell r="BC14">
            <v>16</v>
          </cell>
          <cell r="BD14">
            <v>16</v>
          </cell>
          <cell r="BE14">
            <v>16</v>
          </cell>
          <cell r="BF14">
            <v>16</v>
          </cell>
          <cell r="BG14">
            <v>16</v>
          </cell>
          <cell r="BH14">
            <v>16.5</v>
          </cell>
          <cell r="BI14">
            <v>16.5</v>
          </cell>
          <cell r="BJ14">
            <v>16.5</v>
          </cell>
        </row>
        <row r="15">
          <cell r="A15" t="str">
            <v>闸门数量</v>
          </cell>
          <cell r="C15">
            <v>3</v>
          </cell>
          <cell r="D15">
            <v>3</v>
          </cell>
          <cell r="E15">
            <v>3</v>
          </cell>
          <cell r="F15">
            <v>3</v>
          </cell>
          <cell r="G15">
            <v>3</v>
          </cell>
          <cell r="H15">
            <v>3</v>
          </cell>
          <cell r="I15">
            <v>3</v>
          </cell>
          <cell r="J15">
            <v>3</v>
          </cell>
          <cell r="K15">
            <v>3</v>
          </cell>
          <cell r="L15">
            <v>3</v>
          </cell>
          <cell r="M15">
            <v>3</v>
          </cell>
          <cell r="N15">
            <v>3</v>
          </cell>
          <cell r="O15">
            <v>3</v>
          </cell>
          <cell r="P15">
            <v>3</v>
          </cell>
          <cell r="Q15">
            <v>3</v>
          </cell>
          <cell r="R15">
            <v>3</v>
          </cell>
          <cell r="S15">
            <v>3</v>
          </cell>
          <cell r="T15">
            <v>3</v>
          </cell>
          <cell r="U15">
            <v>3</v>
          </cell>
          <cell r="V15">
            <v>3</v>
          </cell>
          <cell r="W15">
            <v>3</v>
          </cell>
          <cell r="X15">
            <v>3</v>
          </cell>
          <cell r="Y15">
            <v>3</v>
          </cell>
          <cell r="Z15">
            <v>3</v>
          </cell>
          <cell r="AA15">
            <v>3</v>
          </cell>
          <cell r="AB15">
            <v>3</v>
          </cell>
          <cell r="AC15">
            <v>3</v>
          </cell>
          <cell r="AD15">
            <v>3</v>
          </cell>
          <cell r="AE15">
            <v>3</v>
          </cell>
          <cell r="AF15">
            <v>3</v>
          </cell>
          <cell r="AG15">
            <v>3</v>
          </cell>
          <cell r="AH15">
            <v>3</v>
          </cell>
          <cell r="AI15">
            <v>3</v>
          </cell>
          <cell r="AJ15">
            <v>3</v>
          </cell>
          <cell r="AK15">
            <v>3</v>
          </cell>
          <cell r="AL15">
            <v>3</v>
          </cell>
          <cell r="AM15">
            <v>3</v>
          </cell>
          <cell r="AN15">
            <v>3</v>
          </cell>
          <cell r="AO15">
            <v>3</v>
          </cell>
          <cell r="AP15">
            <v>3</v>
          </cell>
          <cell r="AQ15">
            <v>3</v>
          </cell>
          <cell r="AR15">
            <v>3</v>
          </cell>
          <cell r="AS15">
            <v>3</v>
          </cell>
          <cell r="AT15">
            <v>3</v>
          </cell>
          <cell r="AU15">
            <v>3</v>
          </cell>
          <cell r="AV15">
            <v>3</v>
          </cell>
          <cell r="AW15">
            <v>3</v>
          </cell>
          <cell r="AX15">
            <v>3</v>
          </cell>
          <cell r="AY15">
            <v>3</v>
          </cell>
          <cell r="AZ15">
            <v>3</v>
          </cell>
          <cell r="BA15">
            <v>3</v>
          </cell>
          <cell r="BB15">
            <v>3</v>
          </cell>
          <cell r="BC15">
            <v>3</v>
          </cell>
          <cell r="BD15">
            <v>3</v>
          </cell>
          <cell r="BE15">
            <v>3</v>
          </cell>
          <cell r="BF15">
            <v>3</v>
          </cell>
          <cell r="BG15">
            <v>3</v>
          </cell>
          <cell r="BH15">
            <v>3</v>
          </cell>
          <cell r="BI15">
            <v>3</v>
          </cell>
          <cell r="BJ15">
            <v>3</v>
          </cell>
        </row>
        <row r="16">
          <cell r="A16" t="str">
            <v>左泵室泵位</v>
          </cell>
          <cell r="C16">
            <v>2</v>
          </cell>
          <cell r="D16">
            <v>2</v>
          </cell>
          <cell r="E16">
            <v>2</v>
          </cell>
          <cell r="F16">
            <v>2</v>
          </cell>
          <cell r="G16">
            <v>2</v>
          </cell>
          <cell r="H16">
            <v>2</v>
          </cell>
          <cell r="I16">
            <v>2</v>
          </cell>
          <cell r="J16">
            <v>2</v>
          </cell>
          <cell r="K16">
            <v>2</v>
          </cell>
          <cell r="L16">
            <v>2</v>
          </cell>
          <cell r="M16">
            <v>2</v>
          </cell>
          <cell r="N16">
            <v>2</v>
          </cell>
          <cell r="O16">
            <v>2</v>
          </cell>
          <cell r="P16">
            <v>2</v>
          </cell>
          <cell r="Q16">
            <v>2</v>
          </cell>
          <cell r="R16">
            <v>3</v>
          </cell>
          <cell r="S16">
            <v>3</v>
          </cell>
          <cell r="T16">
            <v>3</v>
          </cell>
          <cell r="U16">
            <v>3</v>
          </cell>
          <cell r="V16">
            <v>3</v>
          </cell>
          <cell r="W16">
            <v>3</v>
          </cell>
          <cell r="X16">
            <v>3</v>
          </cell>
          <cell r="Y16">
            <v>3</v>
          </cell>
          <cell r="Z16">
            <v>3</v>
          </cell>
          <cell r="AA16">
            <v>3</v>
          </cell>
          <cell r="AB16">
            <v>3</v>
          </cell>
          <cell r="AC16">
            <v>3</v>
          </cell>
          <cell r="AD16">
            <v>3</v>
          </cell>
          <cell r="AE16">
            <v>3</v>
          </cell>
          <cell r="AF16">
            <v>3</v>
          </cell>
          <cell r="AG16">
            <v>4</v>
          </cell>
          <cell r="AH16">
            <v>4</v>
          </cell>
          <cell r="AI16">
            <v>4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>
            <v>4</v>
          </cell>
          <cell r="AS16">
            <v>4</v>
          </cell>
          <cell r="AT16">
            <v>4</v>
          </cell>
          <cell r="AU16">
            <v>4</v>
          </cell>
          <cell r="AV16">
            <v>4</v>
          </cell>
          <cell r="AW16">
            <v>4</v>
          </cell>
          <cell r="AX16">
            <v>4</v>
          </cell>
          <cell r="AY16">
            <v>4</v>
          </cell>
          <cell r="AZ16">
            <v>4</v>
          </cell>
          <cell r="BA16">
            <v>4</v>
          </cell>
          <cell r="BB16">
            <v>4</v>
          </cell>
          <cell r="BC16">
            <v>4</v>
          </cell>
          <cell r="BD16">
            <v>4</v>
          </cell>
          <cell r="BE16">
            <v>4</v>
          </cell>
          <cell r="BF16">
            <v>4</v>
          </cell>
          <cell r="BG16">
            <v>4</v>
          </cell>
          <cell r="BH16">
            <v>4</v>
          </cell>
          <cell r="BI16">
            <v>4</v>
          </cell>
          <cell r="BJ16">
            <v>4</v>
          </cell>
        </row>
        <row r="17">
          <cell r="A17" t="str">
            <v>右泵室泵位</v>
          </cell>
          <cell r="C17">
            <v>2</v>
          </cell>
          <cell r="D17">
            <v>2</v>
          </cell>
          <cell r="E17">
            <v>2</v>
          </cell>
          <cell r="F17">
            <v>2</v>
          </cell>
          <cell r="G17">
            <v>2</v>
          </cell>
          <cell r="H17">
            <v>2</v>
          </cell>
          <cell r="I17">
            <v>2</v>
          </cell>
          <cell r="J17">
            <v>2</v>
          </cell>
          <cell r="K17">
            <v>2</v>
          </cell>
          <cell r="L17">
            <v>2</v>
          </cell>
          <cell r="M17">
            <v>2</v>
          </cell>
          <cell r="N17">
            <v>2</v>
          </cell>
          <cell r="O17">
            <v>2</v>
          </cell>
          <cell r="P17">
            <v>2</v>
          </cell>
          <cell r="Q17">
            <v>2</v>
          </cell>
          <cell r="R17">
            <v>3</v>
          </cell>
          <cell r="S17">
            <v>3</v>
          </cell>
          <cell r="T17">
            <v>3</v>
          </cell>
          <cell r="U17">
            <v>3</v>
          </cell>
          <cell r="V17">
            <v>3</v>
          </cell>
          <cell r="W17">
            <v>3</v>
          </cell>
          <cell r="X17">
            <v>3</v>
          </cell>
          <cell r="Y17">
            <v>3</v>
          </cell>
          <cell r="Z17">
            <v>3</v>
          </cell>
          <cell r="AA17">
            <v>3</v>
          </cell>
          <cell r="AB17">
            <v>3</v>
          </cell>
          <cell r="AC17">
            <v>3</v>
          </cell>
          <cell r="AD17">
            <v>3</v>
          </cell>
          <cell r="AE17">
            <v>3</v>
          </cell>
          <cell r="AF17">
            <v>3</v>
          </cell>
          <cell r="AG17">
            <v>4</v>
          </cell>
          <cell r="AH17">
            <v>4</v>
          </cell>
          <cell r="AI17">
            <v>4</v>
          </cell>
          <cell r="AJ17">
            <v>4</v>
          </cell>
          <cell r="AK17">
            <v>4</v>
          </cell>
          <cell r="AL17">
            <v>4</v>
          </cell>
          <cell r="AM17">
            <v>4</v>
          </cell>
          <cell r="AN17">
            <v>4</v>
          </cell>
          <cell r="AO17">
            <v>4</v>
          </cell>
          <cell r="AP17">
            <v>4</v>
          </cell>
          <cell r="AQ17">
            <v>4</v>
          </cell>
          <cell r="AR17">
            <v>4</v>
          </cell>
          <cell r="AS17">
            <v>4</v>
          </cell>
          <cell r="AT17">
            <v>4</v>
          </cell>
          <cell r="AU17">
            <v>4</v>
          </cell>
          <cell r="AV17">
            <v>4</v>
          </cell>
          <cell r="AW17">
            <v>4</v>
          </cell>
          <cell r="AX17">
            <v>4</v>
          </cell>
          <cell r="AY17">
            <v>4</v>
          </cell>
          <cell r="AZ17">
            <v>4</v>
          </cell>
          <cell r="BA17">
            <v>4</v>
          </cell>
          <cell r="BB17">
            <v>4</v>
          </cell>
          <cell r="BC17">
            <v>4</v>
          </cell>
          <cell r="BD17">
            <v>4</v>
          </cell>
          <cell r="BE17">
            <v>4</v>
          </cell>
          <cell r="BF17">
            <v>4</v>
          </cell>
          <cell r="BG17">
            <v>4</v>
          </cell>
          <cell r="BH17">
            <v>4</v>
          </cell>
          <cell r="BI17">
            <v>4</v>
          </cell>
          <cell r="BJ17">
            <v>4</v>
          </cell>
        </row>
        <row r="18">
          <cell r="A18" t="str">
            <v>C</v>
          </cell>
          <cell r="C18"/>
          <cell r="D18"/>
          <cell r="E18"/>
          <cell r="F18"/>
          <cell r="G18"/>
          <cell r="H18"/>
          <cell r="I18"/>
          <cell r="J18"/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/>
          <cell r="V18"/>
          <cell r="W18"/>
          <cell r="X18" t="e">
            <v>#REF!</v>
          </cell>
          <cell r="Y18" t="e">
            <v>#REF!</v>
          </cell>
          <cell r="Z18" t="e">
            <v>#REF!</v>
          </cell>
          <cell r="AA18"/>
          <cell r="AB18"/>
          <cell r="AC18"/>
          <cell r="AD18" t="e">
            <v>#REF!</v>
          </cell>
          <cell r="AE18" t="e">
            <v>#REF!</v>
          </cell>
          <cell r="AF18" t="e">
            <v>#REF!</v>
          </cell>
          <cell r="AG18"/>
          <cell r="AH18"/>
          <cell r="AI18"/>
          <cell r="AJ18" t="e">
            <v>#REF!</v>
          </cell>
          <cell r="AK18" t="e">
            <v>#REF!</v>
          </cell>
          <cell r="AL18" t="e">
            <v>#REF!</v>
          </cell>
          <cell r="AM18"/>
          <cell r="AN18"/>
          <cell r="AO18"/>
          <cell r="AP18"/>
          <cell r="AQ18"/>
          <cell r="AR18"/>
          <cell r="AS18"/>
          <cell r="AT18" t="e">
            <v>#REF!</v>
          </cell>
          <cell r="AU18" t="e">
            <v>#REF!</v>
          </cell>
          <cell r="AV18" t="e">
            <v>#REF!</v>
          </cell>
          <cell r="AW18" t="e">
            <v>#REF!</v>
          </cell>
          <cell r="AX18" t="e">
            <v>#REF!</v>
          </cell>
          <cell r="AY18"/>
          <cell r="AZ18"/>
          <cell r="BA18"/>
          <cell r="BB18"/>
          <cell r="BC18"/>
          <cell r="BD18"/>
          <cell r="BE18"/>
          <cell r="BF18"/>
          <cell r="BG18"/>
          <cell r="BH18" t="e">
            <v>#REF!</v>
          </cell>
          <cell r="BI18" t="e">
            <v>#REF!</v>
          </cell>
          <cell r="BJ18" t="e">
            <v>#REF!</v>
          </cell>
        </row>
        <row r="19">
          <cell r="A19" t="str">
            <v>D</v>
          </cell>
          <cell r="C19"/>
          <cell r="D19"/>
          <cell r="E19"/>
          <cell r="F19"/>
          <cell r="G19"/>
          <cell r="H19"/>
          <cell r="I19"/>
          <cell r="J19"/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/>
          <cell r="V19"/>
          <cell r="W19"/>
          <cell r="X19" t="e">
            <v>#REF!</v>
          </cell>
          <cell r="Y19" t="e">
            <v>#REF!</v>
          </cell>
          <cell r="Z19" t="e">
            <v>#REF!</v>
          </cell>
          <cell r="AA19"/>
          <cell r="AB19"/>
          <cell r="AC19"/>
          <cell r="AD19" t="e">
            <v>#REF!</v>
          </cell>
          <cell r="AE19" t="e">
            <v>#REF!</v>
          </cell>
          <cell r="AF19" t="e">
            <v>#REF!</v>
          </cell>
          <cell r="AG19"/>
          <cell r="AH19"/>
          <cell r="AI19"/>
          <cell r="AJ19" t="e">
            <v>#REF!</v>
          </cell>
          <cell r="AK19" t="e">
            <v>#REF!</v>
          </cell>
          <cell r="AL19" t="e">
            <v>#REF!</v>
          </cell>
          <cell r="AM19"/>
          <cell r="AN19"/>
          <cell r="AO19"/>
          <cell r="AP19"/>
          <cell r="AQ19"/>
          <cell r="AR19"/>
          <cell r="AS19"/>
          <cell r="AT19" t="e">
            <v>#REF!</v>
          </cell>
          <cell r="AU19" t="e">
            <v>#REF!</v>
          </cell>
          <cell r="AV19" t="e">
            <v>#REF!</v>
          </cell>
          <cell r="AW19" t="e">
            <v>#REF!</v>
          </cell>
          <cell r="AX19" t="e">
            <v>#REF!</v>
          </cell>
          <cell r="AY19"/>
          <cell r="AZ19"/>
          <cell r="BA19"/>
          <cell r="BB19"/>
          <cell r="BC19"/>
          <cell r="BD19"/>
          <cell r="BE19"/>
          <cell r="BF19"/>
          <cell r="BG19"/>
          <cell r="BH19" t="e">
            <v>#REF!</v>
          </cell>
          <cell r="BI19" t="e">
            <v>#REF!</v>
          </cell>
          <cell r="BJ19" t="e">
            <v>#REF!</v>
          </cell>
        </row>
        <row r="20">
          <cell r="A20" t="str">
            <v>E</v>
          </cell>
          <cell r="C20"/>
          <cell r="D20"/>
          <cell r="E20"/>
          <cell r="F20"/>
          <cell r="G20"/>
          <cell r="H20"/>
          <cell r="I20"/>
          <cell r="J20"/>
          <cell r="K20">
            <v>0.8</v>
          </cell>
          <cell r="L20">
            <v>0.8</v>
          </cell>
          <cell r="M20">
            <v>0.8</v>
          </cell>
          <cell r="N20">
            <v>0.8</v>
          </cell>
          <cell r="O20">
            <v>0.8</v>
          </cell>
          <cell r="P20">
            <v>0.8</v>
          </cell>
          <cell r="Q20">
            <v>0.8</v>
          </cell>
          <cell r="R20">
            <v>0.8</v>
          </cell>
          <cell r="S20">
            <v>0.8</v>
          </cell>
          <cell r="T20">
            <v>0.8</v>
          </cell>
          <cell r="U20"/>
          <cell r="V20"/>
          <cell r="W20"/>
          <cell r="X20">
            <v>0.8</v>
          </cell>
          <cell r="Y20">
            <v>0.8</v>
          </cell>
          <cell r="Z20">
            <v>0.8</v>
          </cell>
          <cell r="AA20"/>
          <cell r="AB20"/>
          <cell r="AC20"/>
          <cell r="AD20">
            <v>0.8</v>
          </cell>
          <cell r="AE20">
            <v>0.8</v>
          </cell>
          <cell r="AF20">
            <v>0.8</v>
          </cell>
          <cell r="AG20"/>
          <cell r="AH20"/>
          <cell r="AI20"/>
          <cell r="AJ20">
            <v>0.8</v>
          </cell>
          <cell r="AK20">
            <v>0.8</v>
          </cell>
          <cell r="AL20">
            <v>0.8</v>
          </cell>
          <cell r="AM20"/>
          <cell r="AN20"/>
          <cell r="AO20"/>
          <cell r="AP20"/>
          <cell r="AQ20"/>
          <cell r="AR20"/>
          <cell r="AS20"/>
          <cell r="AT20">
            <v>0.8</v>
          </cell>
          <cell r="AU20">
            <v>0.8</v>
          </cell>
          <cell r="AV20">
            <v>0.8</v>
          </cell>
          <cell r="AW20">
            <v>0.8</v>
          </cell>
          <cell r="AX20">
            <v>0.8</v>
          </cell>
          <cell r="AY20"/>
          <cell r="AZ20"/>
          <cell r="BA20"/>
          <cell r="BB20"/>
          <cell r="BC20"/>
          <cell r="BD20"/>
          <cell r="BE20"/>
          <cell r="BF20"/>
          <cell r="BG20"/>
          <cell r="BH20">
            <v>0.8</v>
          </cell>
          <cell r="BI20">
            <v>0.8</v>
          </cell>
          <cell r="BJ20">
            <v>0.8</v>
          </cell>
        </row>
        <row r="21">
          <cell r="A21" t="str">
            <v>F</v>
          </cell>
          <cell r="C21"/>
          <cell r="D21"/>
          <cell r="E21"/>
          <cell r="F21"/>
          <cell r="G21"/>
          <cell r="H21"/>
          <cell r="I21"/>
          <cell r="J21"/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/>
          <cell r="V21"/>
          <cell r="W21"/>
          <cell r="X21">
            <v>0</v>
          </cell>
          <cell r="Y21">
            <v>0</v>
          </cell>
          <cell r="Z21">
            <v>0</v>
          </cell>
          <cell r="AA21"/>
          <cell r="AB21"/>
          <cell r="AC21"/>
          <cell r="AD21">
            <v>0</v>
          </cell>
          <cell r="AE21">
            <v>0</v>
          </cell>
          <cell r="AF21">
            <v>0</v>
          </cell>
          <cell r="AG21"/>
          <cell r="AH21"/>
          <cell r="AI21"/>
          <cell r="AJ21">
            <v>0</v>
          </cell>
          <cell r="AK21">
            <v>0</v>
          </cell>
          <cell r="AL21">
            <v>0</v>
          </cell>
          <cell r="AM21"/>
          <cell r="AN21"/>
          <cell r="AO21"/>
          <cell r="AP21"/>
          <cell r="AQ21"/>
          <cell r="AR21"/>
          <cell r="AS21"/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/>
          <cell r="AZ21"/>
          <cell r="BA21"/>
          <cell r="BB21"/>
          <cell r="BC21"/>
          <cell r="BD21"/>
          <cell r="BE21"/>
          <cell r="BF21"/>
          <cell r="BG21"/>
          <cell r="BH21">
            <v>0</v>
          </cell>
          <cell r="BI21">
            <v>0</v>
          </cell>
          <cell r="BJ21">
            <v>0</v>
          </cell>
        </row>
        <row r="22">
          <cell r="A22" t="str">
            <v>G</v>
          </cell>
          <cell r="C22"/>
          <cell r="D22"/>
          <cell r="E22"/>
          <cell r="F22"/>
          <cell r="G22"/>
          <cell r="H22"/>
          <cell r="I22"/>
          <cell r="J22"/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U22"/>
          <cell r="V22"/>
          <cell r="W22"/>
          <cell r="X22" t="e">
            <v>#REF!</v>
          </cell>
          <cell r="Y22" t="e">
            <v>#REF!</v>
          </cell>
          <cell r="Z22" t="e">
            <v>#REF!</v>
          </cell>
          <cell r="AA22"/>
          <cell r="AB22"/>
          <cell r="AC22"/>
          <cell r="AD22" t="e">
            <v>#REF!</v>
          </cell>
          <cell r="AE22" t="e">
            <v>#REF!</v>
          </cell>
          <cell r="AF22" t="e">
            <v>#REF!</v>
          </cell>
          <cell r="AG22"/>
          <cell r="AH22"/>
          <cell r="AI22"/>
          <cell r="AJ22" t="e">
            <v>#REF!</v>
          </cell>
          <cell r="AK22" t="e">
            <v>#REF!</v>
          </cell>
          <cell r="AL22" t="e">
            <v>#REF!</v>
          </cell>
          <cell r="AM22"/>
          <cell r="AN22"/>
          <cell r="AO22"/>
          <cell r="AP22"/>
          <cell r="AQ22"/>
          <cell r="AR22"/>
          <cell r="AS22"/>
          <cell r="AT22" t="e">
            <v>#REF!</v>
          </cell>
          <cell r="AU22" t="e">
            <v>#REF!</v>
          </cell>
          <cell r="AV22" t="e">
            <v>#REF!</v>
          </cell>
          <cell r="AW22" t="e">
            <v>#REF!</v>
          </cell>
          <cell r="AX22" t="e">
            <v>#REF!</v>
          </cell>
          <cell r="AY22"/>
          <cell r="AZ22"/>
          <cell r="BA22"/>
          <cell r="BB22"/>
          <cell r="BC22"/>
          <cell r="BD22"/>
          <cell r="BE22"/>
          <cell r="BF22"/>
          <cell r="BG22"/>
          <cell r="BH22" t="e">
            <v>#REF!</v>
          </cell>
          <cell r="BI22" t="e">
            <v>#REF!</v>
          </cell>
          <cell r="BJ22" t="e">
            <v>#REF!</v>
          </cell>
        </row>
        <row r="23">
          <cell r="A23" t="str">
            <v>集砂槽顶宽</v>
          </cell>
          <cell r="C23"/>
          <cell r="D23"/>
          <cell r="E23"/>
          <cell r="F23"/>
          <cell r="G23"/>
          <cell r="H23"/>
          <cell r="I23"/>
          <cell r="J23"/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 t="e">
            <v>#REF!</v>
          </cell>
          <cell r="R23" t="e">
            <v>#REF!</v>
          </cell>
          <cell r="S23" t="e">
            <v>#REF!</v>
          </cell>
          <cell r="T23" t="e">
            <v>#REF!</v>
          </cell>
          <cell r="U23"/>
          <cell r="V23"/>
          <cell r="W23"/>
          <cell r="X23" t="e">
            <v>#REF!</v>
          </cell>
          <cell r="Y23" t="e">
            <v>#REF!</v>
          </cell>
          <cell r="Z23" t="e">
            <v>#REF!</v>
          </cell>
          <cell r="AA23"/>
          <cell r="AB23"/>
          <cell r="AC23"/>
          <cell r="AD23" t="e">
            <v>#REF!</v>
          </cell>
          <cell r="AE23" t="e">
            <v>#REF!</v>
          </cell>
          <cell r="AF23" t="e">
            <v>#REF!</v>
          </cell>
          <cell r="AG23"/>
          <cell r="AH23"/>
          <cell r="AI23"/>
          <cell r="AJ23" t="e">
            <v>#REF!</v>
          </cell>
          <cell r="AK23" t="e">
            <v>#REF!</v>
          </cell>
          <cell r="AL23" t="e">
            <v>#REF!</v>
          </cell>
          <cell r="AM23"/>
          <cell r="AN23"/>
          <cell r="AO23"/>
          <cell r="AP23"/>
          <cell r="AQ23"/>
          <cell r="AR23"/>
          <cell r="AS23"/>
          <cell r="AT23" t="e">
            <v>#REF!</v>
          </cell>
          <cell r="AU23" t="e">
            <v>#REF!</v>
          </cell>
          <cell r="AV23" t="e">
            <v>#REF!</v>
          </cell>
          <cell r="AW23" t="e">
            <v>#REF!</v>
          </cell>
          <cell r="AX23" t="e">
            <v>#REF!</v>
          </cell>
          <cell r="AY23"/>
          <cell r="AZ23"/>
          <cell r="BA23"/>
          <cell r="BB23"/>
          <cell r="BC23"/>
          <cell r="BD23"/>
          <cell r="BE23"/>
          <cell r="BF23"/>
          <cell r="BG23"/>
          <cell r="BH23" t="e">
            <v>#REF!</v>
          </cell>
          <cell r="BI23" t="e">
            <v>#REF!</v>
          </cell>
          <cell r="BJ23" t="e">
            <v>#REF!</v>
          </cell>
        </row>
        <row r="24">
          <cell r="A24" t="str">
            <v>闸后进水渠道宽度尺寸G</v>
          </cell>
          <cell r="C24"/>
          <cell r="D24"/>
          <cell r="E24"/>
          <cell r="F24"/>
          <cell r="G24"/>
          <cell r="H24"/>
          <cell r="I24"/>
          <cell r="J24"/>
          <cell r="K24">
            <v>0.8</v>
          </cell>
          <cell r="L24">
            <v>0.8</v>
          </cell>
          <cell r="M24">
            <v>0.8</v>
          </cell>
          <cell r="N24">
            <v>0.8</v>
          </cell>
          <cell r="O24">
            <v>0.8</v>
          </cell>
          <cell r="P24">
            <v>0.8</v>
          </cell>
          <cell r="Q24">
            <v>0.8</v>
          </cell>
          <cell r="R24">
            <v>0.8</v>
          </cell>
          <cell r="S24">
            <v>0.8</v>
          </cell>
          <cell r="T24">
            <v>0.8</v>
          </cell>
          <cell r="U24"/>
          <cell r="V24"/>
          <cell r="W24"/>
          <cell r="X24">
            <v>0.8</v>
          </cell>
          <cell r="Y24">
            <v>0.8</v>
          </cell>
          <cell r="Z24">
            <v>0.8</v>
          </cell>
          <cell r="AA24"/>
          <cell r="AB24"/>
          <cell r="AC24"/>
          <cell r="AD24">
            <v>0.8</v>
          </cell>
          <cell r="AE24">
            <v>0.8</v>
          </cell>
          <cell r="AF24">
            <v>0.8</v>
          </cell>
          <cell r="AG24"/>
          <cell r="AH24"/>
          <cell r="AI24"/>
          <cell r="AJ24">
            <v>0.8</v>
          </cell>
          <cell r="AK24">
            <v>0.8</v>
          </cell>
          <cell r="AL24">
            <v>0.8</v>
          </cell>
          <cell r="AM24"/>
          <cell r="AN24"/>
          <cell r="AO24"/>
          <cell r="AP24"/>
          <cell r="AQ24"/>
          <cell r="AR24"/>
          <cell r="AS24"/>
          <cell r="AT24">
            <v>0.8</v>
          </cell>
          <cell r="AU24">
            <v>0.8</v>
          </cell>
          <cell r="AV24">
            <v>0.8</v>
          </cell>
          <cell r="AW24">
            <v>0.8</v>
          </cell>
          <cell r="AX24">
            <v>0.8</v>
          </cell>
          <cell r="AY24"/>
          <cell r="AZ24"/>
          <cell r="BA24"/>
          <cell r="BB24"/>
          <cell r="BC24"/>
          <cell r="BD24"/>
          <cell r="BE24"/>
          <cell r="BF24"/>
          <cell r="BG24"/>
          <cell r="BH24">
            <v>0.8</v>
          </cell>
          <cell r="BI24">
            <v>0.8</v>
          </cell>
          <cell r="BJ24">
            <v>0.8</v>
          </cell>
        </row>
        <row r="25">
          <cell r="A25" t="str">
            <v>进水侧长边方向泥斗水平投影尺寸R</v>
          </cell>
          <cell r="C25"/>
          <cell r="D25"/>
          <cell r="E25"/>
          <cell r="F25"/>
          <cell r="G25"/>
          <cell r="H25"/>
          <cell r="I25"/>
          <cell r="J25"/>
          <cell r="K25">
            <v>1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1</v>
          </cell>
          <cell r="S25">
            <v>1</v>
          </cell>
          <cell r="T25">
            <v>1</v>
          </cell>
          <cell r="U25"/>
          <cell r="V25"/>
          <cell r="W25"/>
          <cell r="X25">
            <v>1</v>
          </cell>
          <cell r="Y25">
            <v>1</v>
          </cell>
          <cell r="Z25">
            <v>1</v>
          </cell>
          <cell r="AA25"/>
          <cell r="AB25"/>
          <cell r="AC25"/>
          <cell r="AD25">
            <v>1</v>
          </cell>
          <cell r="AE25">
            <v>1</v>
          </cell>
          <cell r="AF25">
            <v>1</v>
          </cell>
          <cell r="AG25"/>
          <cell r="AH25"/>
          <cell r="AI25"/>
          <cell r="AJ25">
            <v>1</v>
          </cell>
          <cell r="AK25">
            <v>1</v>
          </cell>
          <cell r="AL25">
            <v>1</v>
          </cell>
          <cell r="AM25"/>
          <cell r="AN25"/>
          <cell r="AO25"/>
          <cell r="AP25"/>
          <cell r="AQ25"/>
          <cell r="AR25"/>
          <cell r="AS25"/>
          <cell r="AT25">
            <v>1</v>
          </cell>
          <cell r="AU25">
            <v>1</v>
          </cell>
          <cell r="AV25">
            <v>1</v>
          </cell>
          <cell r="AW25">
            <v>1</v>
          </cell>
          <cell r="AX25">
            <v>1</v>
          </cell>
          <cell r="AY25"/>
          <cell r="AZ25"/>
          <cell r="BA25"/>
          <cell r="BB25"/>
          <cell r="BC25"/>
          <cell r="BD25"/>
          <cell r="BE25"/>
          <cell r="BF25"/>
          <cell r="BG25"/>
          <cell r="BH25">
            <v>1</v>
          </cell>
          <cell r="BI25">
            <v>1</v>
          </cell>
          <cell r="BJ25">
            <v>1</v>
          </cell>
        </row>
        <row r="26">
          <cell r="A26" t="str">
            <v>出水侧长边方向泥斗水平投影尺寸S</v>
          </cell>
          <cell r="C26"/>
          <cell r="D26"/>
          <cell r="E26"/>
          <cell r="F26"/>
          <cell r="G26"/>
          <cell r="H26"/>
          <cell r="I26"/>
          <cell r="J26"/>
          <cell r="K26">
            <v>1.3</v>
          </cell>
          <cell r="L26">
            <v>1.3</v>
          </cell>
          <cell r="M26">
            <v>1.3</v>
          </cell>
          <cell r="N26">
            <v>1.3</v>
          </cell>
          <cell r="O26">
            <v>1.3</v>
          </cell>
          <cell r="P26">
            <v>1.3</v>
          </cell>
          <cell r="Q26">
            <v>1.3</v>
          </cell>
          <cell r="R26">
            <v>1.3</v>
          </cell>
          <cell r="S26">
            <v>1.3</v>
          </cell>
          <cell r="T26">
            <v>1.3</v>
          </cell>
          <cell r="U26"/>
          <cell r="V26"/>
          <cell r="W26"/>
          <cell r="X26">
            <v>1.3</v>
          </cell>
          <cell r="Y26">
            <v>1.3</v>
          </cell>
          <cell r="Z26">
            <v>1.3</v>
          </cell>
          <cell r="AA26"/>
          <cell r="AB26"/>
          <cell r="AC26"/>
          <cell r="AD26">
            <v>1.3</v>
          </cell>
          <cell r="AE26">
            <v>1.3</v>
          </cell>
          <cell r="AF26">
            <v>1.3</v>
          </cell>
          <cell r="AG26"/>
          <cell r="AH26"/>
          <cell r="AI26"/>
          <cell r="AJ26">
            <v>1.3</v>
          </cell>
          <cell r="AK26">
            <v>1.3</v>
          </cell>
          <cell r="AL26">
            <v>1.3</v>
          </cell>
          <cell r="AM26"/>
          <cell r="AN26"/>
          <cell r="AO26"/>
          <cell r="AP26"/>
          <cell r="AQ26"/>
          <cell r="AR26"/>
          <cell r="AS26"/>
          <cell r="AT26">
            <v>1.3</v>
          </cell>
          <cell r="AU26">
            <v>1.3</v>
          </cell>
          <cell r="AV26">
            <v>1.3</v>
          </cell>
          <cell r="AW26">
            <v>1.3</v>
          </cell>
          <cell r="AX26">
            <v>1.3</v>
          </cell>
          <cell r="AY26"/>
          <cell r="AZ26"/>
          <cell r="BA26"/>
          <cell r="BB26"/>
          <cell r="BC26"/>
          <cell r="BD26"/>
          <cell r="BE26"/>
          <cell r="BF26"/>
          <cell r="BG26"/>
          <cell r="BH26">
            <v>1.3</v>
          </cell>
          <cell r="BI26">
            <v>1.3</v>
          </cell>
          <cell r="BJ26">
            <v>1.3</v>
          </cell>
        </row>
        <row r="27">
          <cell r="A27" t="str">
            <v>砂斗壁斜坡(短边)底距离斗底方槽近侧距离F</v>
          </cell>
          <cell r="C27"/>
          <cell r="D27"/>
          <cell r="E27"/>
          <cell r="F27"/>
          <cell r="G27"/>
          <cell r="H27"/>
          <cell r="I27"/>
          <cell r="J27"/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 t="e">
            <v>#REF!</v>
          </cell>
          <cell r="R27" t="e">
            <v>#REF!</v>
          </cell>
          <cell r="S27" t="e">
            <v>#REF!</v>
          </cell>
          <cell r="T27" t="e">
            <v>#REF!</v>
          </cell>
          <cell r="U27"/>
          <cell r="V27"/>
          <cell r="W27"/>
          <cell r="X27" t="e">
            <v>#REF!</v>
          </cell>
          <cell r="Y27" t="e">
            <v>#REF!</v>
          </cell>
          <cell r="Z27" t="e">
            <v>#REF!</v>
          </cell>
          <cell r="AA27"/>
          <cell r="AB27"/>
          <cell r="AC27"/>
          <cell r="AD27" t="e">
            <v>#REF!</v>
          </cell>
          <cell r="AE27" t="e">
            <v>#REF!</v>
          </cell>
          <cell r="AF27" t="e">
            <v>#REF!</v>
          </cell>
          <cell r="AG27"/>
          <cell r="AH27"/>
          <cell r="AI27"/>
          <cell r="AJ27" t="e">
            <v>#REF!</v>
          </cell>
          <cell r="AK27" t="e">
            <v>#REF!</v>
          </cell>
          <cell r="AL27" t="e">
            <v>#REF!</v>
          </cell>
          <cell r="AM27"/>
          <cell r="AN27"/>
          <cell r="AO27"/>
          <cell r="AP27"/>
          <cell r="AQ27"/>
          <cell r="AR27"/>
          <cell r="AS27"/>
          <cell r="AT27" t="e">
            <v>#REF!</v>
          </cell>
          <cell r="AU27" t="e">
            <v>#REF!</v>
          </cell>
          <cell r="AV27" t="e">
            <v>#REF!</v>
          </cell>
          <cell r="AW27" t="e">
            <v>#REF!</v>
          </cell>
          <cell r="AX27" t="e">
            <v>#REF!</v>
          </cell>
          <cell r="AY27"/>
          <cell r="AZ27"/>
          <cell r="BA27"/>
          <cell r="BB27"/>
          <cell r="BC27"/>
          <cell r="BD27"/>
          <cell r="BE27"/>
          <cell r="BF27"/>
          <cell r="BG27"/>
          <cell r="BH27" t="e">
            <v>#REF!</v>
          </cell>
          <cell r="BI27" t="e">
            <v>#REF!</v>
          </cell>
          <cell r="BJ27" t="e">
            <v>#REF!</v>
          </cell>
        </row>
        <row r="28">
          <cell r="A28" t="str">
            <v>旋流区宽B</v>
          </cell>
          <cell r="C28"/>
          <cell r="D28"/>
          <cell r="E28"/>
          <cell r="F28"/>
          <cell r="G28"/>
          <cell r="H28"/>
          <cell r="I28"/>
          <cell r="J28"/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 t="e">
            <v>#REF!</v>
          </cell>
          <cell r="R28" t="e">
            <v>#REF!</v>
          </cell>
          <cell r="S28" t="e">
            <v>#REF!</v>
          </cell>
          <cell r="T28" t="e">
            <v>#REF!</v>
          </cell>
          <cell r="U28"/>
          <cell r="V28"/>
          <cell r="W28"/>
          <cell r="X28" t="e">
            <v>#REF!</v>
          </cell>
          <cell r="Y28" t="e">
            <v>#REF!</v>
          </cell>
          <cell r="Z28" t="e">
            <v>#REF!</v>
          </cell>
          <cell r="AA28"/>
          <cell r="AB28"/>
          <cell r="AC28"/>
          <cell r="AD28" t="e">
            <v>#REF!</v>
          </cell>
          <cell r="AE28" t="e">
            <v>#REF!</v>
          </cell>
          <cell r="AF28" t="e">
            <v>#REF!</v>
          </cell>
          <cell r="AG28"/>
          <cell r="AH28"/>
          <cell r="AI28"/>
          <cell r="AJ28" t="e">
            <v>#REF!</v>
          </cell>
          <cell r="AK28" t="e">
            <v>#REF!</v>
          </cell>
          <cell r="AL28" t="e">
            <v>#REF!</v>
          </cell>
          <cell r="AM28"/>
          <cell r="AN28"/>
          <cell r="AO28"/>
          <cell r="AP28"/>
          <cell r="AQ28"/>
          <cell r="AR28"/>
          <cell r="AS28"/>
          <cell r="AT28" t="e">
            <v>#REF!</v>
          </cell>
          <cell r="AU28" t="e">
            <v>#REF!</v>
          </cell>
          <cell r="AV28" t="e">
            <v>#REF!</v>
          </cell>
          <cell r="AW28" t="e">
            <v>#REF!</v>
          </cell>
          <cell r="AX28" t="e">
            <v>#REF!</v>
          </cell>
          <cell r="AY28"/>
          <cell r="AZ28"/>
          <cell r="BA28"/>
          <cell r="BB28"/>
          <cell r="BC28"/>
          <cell r="BD28"/>
          <cell r="BE28"/>
          <cell r="BF28"/>
          <cell r="BG28"/>
          <cell r="BH28" t="e">
            <v>#REF!</v>
          </cell>
          <cell r="BI28" t="e">
            <v>#REF!</v>
          </cell>
          <cell r="BJ28" t="e">
            <v>#REF!</v>
          </cell>
        </row>
        <row r="29">
          <cell r="A29" t="str">
            <v>浮渣区宽b2</v>
          </cell>
          <cell r="C29"/>
          <cell r="D29"/>
          <cell r="E29"/>
          <cell r="F29"/>
          <cell r="G29"/>
          <cell r="H29"/>
          <cell r="I29"/>
          <cell r="J29"/>
          <cell r="K29">
            <v>0.8</v>
          </cell>
          <cell r="L29">
            <v>0.8</v>
          </cell>
          <cell r="M29">
            <v>0.8</v>
          </cell>
          <cell r="N29">
            <v>0.8</v>
          </cell>
          <cell r="O29">
            <v>0.8</v>
          </cell>
          <cell r="P29">
            <v>0.8</v>
          </cell>
          <cell r="Q29">
            <v>0.8</v>
          </cell>
          <cell r="R29">
            <v>0.8</v>
          </cell>
          <cell r="S29">
            <v>0.8</v>
          </cell>
          <cell r="T29">
            <v>0.8</v>
          </cell>
          <cell r="U29"/>
          <cell r="V29"/>
          <cell r="W29"/>
          <cell r="X29">
            <v>0.8</v>
          </cell>
          <cell r="Y29">
            <v>0.8</v>
          </cell>
          <cell r="Z29">
            <v>0.8</v>
          </cell>
          <cell r="AA29"/>
          <cell r="AB29"/>
          <cell r="AC29"/>
          <cell r="AD29">
            <v>0.8</v>
          </cell>
          <cell r="AE29">
            <v>0.8</v>
          </cell>
          <cell r="AF29">
            <v>0.8</v>
          </cell>
          <cell r="AG29"/>
          <cell r="AH29"/>
          <cell r="AI29"/>
          <cell r="AJ29">
            <v>0.8</v>
          </cell>
          <cell r="AK29">
            <v>0.8</v>
          </cell>
          <cell r="AL29">
            <v>0.8</v>
          </cell>
          <cell r="AM29"/>
          <cell r="AN29"/>
          <cell r="AO29"/>
          <cell r="AP29"/>
          <cell r="AQ29"/>
          <cell r="AR29"/>
          <cell r="AS29"/>
          <cell r="AT29">
            <v>0.8</v>
          </cell>
          <cell r="AU29">
            <v>0.8</v>
          </cell>
          <cell r="AV29">
            <v>0.8</v>
          </cell>
          <cell r="AW29">
            <v>0.8</v>
          </cell>
          <cell r="AX29">
            <v>0.8</v>
          </cell>
          <cell r="AY29"/>
          <cell r="AZ29"/>
          <cell r="BA29"/>
          <cell r="BB29"/>
          <cell r="BC29"/>
          <cell r="BD29"/>
          <cell r="BE29"/>
          <cell r="BF29"/>
          <cell r="BG29"/>
          <cell r="BH29">
            <v>0.8</v>
          </cell>
          <cell r="BI29">
            <v>0.8</v>
          </cell>
          <cell r="BJ29">
            <v>0.8</v>
          </cell>
        </row>
        <row r="30">
          <cell r="A30" t="str">
            <v>隔墙厚b3</v>
          </cell>
          <cell r="C30"/>
          <cell r="D30"/>
          <cell r="E30"/>
          <cell r="F30"/>
          <cell r="G30"/>
          <cell r="H30"/>
          <cell r="I30"/>
          <cell r="J30"/>
          <cell r="K30">
            <v>0.2</v>
          </cell>
          <cell r="L30">
            <v>0.2</v>
          </cell>
          <cell r="M30">
            <v>0.2</v>
          </cell>
          <cell r="N30">
            <v>0.2</v>
          </cell>
          <cell r="O30">
            <v>0.2</v>
          </cell>
          <cell r="P30">
            <v>0.2</v>
          </cell>
          <cell r="Q30">
            <v>0.2</v>
          </cell>
          <cell r="R30">
            <v>0.2</v>
          </cell>
          <cell r="S30">
            <v>0.2</v>
          </cell>
          <cell r="T30">
            <v>0.2</v>
          </cell>
          <cell r="U30"/>
          <cell r="V30"/>
          <cell r="W30"/>
          <cell r="X30">
            <v>0.2</v>
          </cell>
          <cell r="Y30">
            <v>0.2</v>
          </cell>
          <cell r="Z30">
            <v>0.2</v>
          </cell>
          <cell r="AA30"/>
          <cell r="AB30"/>
          <cell r="AC30"/>
          <cell r="AD30">
            <v>0.2</v>
          </cell>
          <cell r="AE30">
            <v>0.2</v>
          </cell>
          <cell r="AF30">
            <v>0.2</v>
          </cell>
          <cell r="AG30"/>
          <cell r="AH30"/>
          <cell r="AI30"/>
          <cell r="AJ30">
            <v>0.2</v>
          </cell>
          <cell r="AK30">
            <v>0.2</v>
          </cell>
          <cell r="AL30">
            <v>0.2</v>
          </cell>
          <cell r="AM30"/>
          <cell r="AN30"/>
          <cell r="AO30"/>
          <cell r="AP30"/>
          <cell r="AQ30"/>
          <cell r="AR30"/>
          <cell r="AS30"/>
          <cell r="AT30">
            <v>0.2</v>
          </cell>
          <cell r="AU30">
            <v>0.2</v>
          </cell>
          <cell r="AV30">
            <v>0.2</v>
          </cell>
          <cell r="AW30">
            <v>0.2</v>
          </cell>
          <cell r="AX30">
            <v>0.2</v>
          </cell>
          <cell r="AY30"/>
          <cell r="AZ30"/>
          <cell r="BA30"/>
          <cell r="BB30"/>
          <cell r="BC30"/>
          <cell r="BD30"/>
          <cell r="BE30"/>
          <cell r="BF30"/>
          <cell r="BG30"/>
          <cell r="BH30">
            <v>0.2</v>
          </cell>
          <cell r="BI30">
            <v>0.2</v>
          </cell>
          <cell r="BJ30">
            <v>0.2</v>
          </cell>
        </row>
        <row r="31">
          <cell r="A31" t="str">
            <v>壁厚</v>
          </cell>
          <cell r="C31"/>
          <cell r="D31"/>
          <cell r="E31"/>
          <cell r="F31"/>
          <cell r="G31"/>
          <cell r="H31"/>
          <cell r="I31"/>
          <cell r="J31"/>
          <cell r="K31">
            <v>0.4</v>
          </cell>
          <cell r="L31">
            <v>0.4</v>
          </cell>
          <cell r="M31">
            <v>0.4</v>
          </cell>
          <cell r="N31">
            <v>0.4</v>
          </cell>
          <cell r="O31">
            <v>0.4</v>
          </cell>
          <cell r="P31">
            <v>0.4</v>
          </cell>
          <cell r="Q31">
            <v>0.4</v>
          </cell>
          <cell r="R31">
            <v>0.4</v>
          </cell>
          <cell r="S31">
            <v>0.4</v>
          </cell>
          <cell r="T31">
            <v>0.4</v>
          </cell>
          <cell r="U31"/>
          <cell r="V31"/>
          <cell r="W31"/>
          <cell r="X31">
            <v>0.4</v>
          </cell>
          <cell r="Y31">
            <v>0.4</v>
          </cell>
          <cell r="Z31">
            <v>0.4</v>
          </cell>
          <cell r="AA31"/>
          <cell r="AB31"/>
          <cell r="AC31"/>
          <cell r="AD31">
            <v>0.4</v>
          </cell>
          <cell r="AE31">
            <v>0.4</v>
          </cell>
          <cell r="AF31">
            <v>0.4</v>
          </cell>
          <cell r="AG31"/>
          <cell r="AH31"/>
          <cell r="AI31"/>
          <cell r="AJ31">
            <v>0.4</v>
          </cell>
          <cell r="AK31">
            <v>0.4</v>
          </cell>
          <cell r="AL31">
            <v>0.4</v>
          </cell>
          <cell r="AM31"/>
          <cell r="AN31"/>
          <cell r="AO31"/>
          <cell r="AP31"/>
          <cell r="AQ31"/>
          <cell r="AR31"/>
          <cell r="AS31"/>
          <cell r="AT31">
            <v>0.4</v>
          </cell>
          <cell r="AU31">
            <v>0.4</v>
          </cell>
          <cell r="AV31">
            <v>0.4</v>
          </cell>
          <cell r="AW31">
            <v>0.4</v>
          </cell>
          <cell r="AX31">
            <v>0.4</v>
          </cell>
          <cell r="AY31"/>
          <cell r="AZ31"/>
          <cell r="BA31"/>
          <cell r="BB31"/>
          <cell r="BC31"/>
          <cell r="BD31"/>
          <cell r="BE31"/>
          <cell r="BF31"/>
          <cell r="BG31"/>
          <cell r="BH31">
            <v>0.4</v>
          </cell>
          <cell r="BI31">
            <v>0.4</v>
          </cell>
          <cell r="BJ31">
            <v>0.4</v>
          </cell>
        </row>
        <row r="32">
          <cell r="A32" t="str">
            <v>电动葫芦起吊能力</v>
          </cell>
          <cell r="C32">
            <v>1</v>
          </cell>
          <cell r="D32">
            <v>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2</v>
          </cell>
          <cell r="J32">
            <v>2</v>
          </cell>
          <cell r="K32">
            <v>2</v>
          </cell>
          <cell r="L32">
            <v>2</v>
          </cell>
          <cell r="M32">
            <v>2</v>
          </cell>
          <cell r="N32">
            <v>2</v>
          </cell>
          <cell r="O32">
            <v>2</v>
          </cell>
          <cell r="P32">
            <v>2</v>
          </cell>
          <cell r="Q32">
            <v>2</v>
          </cell>
          <cell r="R32">
            <v>3</v>
          </cell>
          <cell r="S32">
            <v>3</v>
          </cell>
          <cell r="T32">
            <v>3</v>
          </cell>
          <cell r="U32">
            <v>3</v>
          </cell>
          <cell r="V32">
            <v>3</v>
          </cell>
          <cell r="W32">
            <v>3</v>
          </cell>
          <cell r="X32">
            <v>3</v>
          </cell>
          <cell r="Y32">
            <v>3</v>
          </cell>
          <cell r="Z32">
            <v>3</v>
          </cell>
          <cell r="AA32">
            <v>3</v>
          </cell>
          <cell r="AB32">
            <v>3</v>
          </cell>
          <cell r="AC32">
            <v>3</v>
          </cell>
          <cell r="AD32">
            <v>3</v>
          </cell>
          <cell r="AE32">
            <v>3</v>
          </cell>
          <cell r="AF32">
            <v>3</v>
          </cell>
          <cell r="AG32">
            <v>5</v>
          </cell>
          <cell r="AH32">
            <v>5</v>
          </cell>
          <cell r="AI32">
            <v>5</v>
          </cell>
          <cell r="AJ32">
            <v>5</v>
          </cell>
          <cell r="AK32">
            <v>5</v>
          </cell>
          <cell r="AL32">
            <v>5</v>
          </cell>
          <cell r="AM32">
            <v>5</v>
          </cell>
          <cell r="AN32">
            <v>5</v>
          </cell>
          <cell r="AO32">
            <v>5</v>
          </cell>
          <cell r="AP32">
            <v>5</v>
          </cell>
          <cell r="AQ32">
            <v>5</v>
          </cell>
          <cell r="AR32">
            <v>5</v>
          </cell>
          <cell r="AS32">
            <v>5</v>
          </cell>
          <cell r="AT32">
            <v>5</v>
          </cell>
          <cell r="AU32">
            <v>5</v>
          </cell>
          <cell r="AV32">
            <v>5</v>
          </cell>
          <cell r="AW32">
            <v>5</v>
          </cell>
          <cell r="AX32">
            <v>5</v>
          </cell>
          <cell r="AY32">
            <v>5</v>
          </cell>
          <cell r="AZ32">
            <v>5</v>
          </cell>
          <cell r="BA32">
            <v>5</v>
          </cell>
          <cell r="BB32">
            <v>5</v>
          </cell>
          <cell r="BC32">
            <v>5</v>
          </cell>
          <cell r="BD32">
            <v>5</v>
          </cell>
          <cell r="BE32">
            <v>5</v>
          </cell>
          <cell r="BF32">
            <v>5</v>
          </cell>
          <cell r="BG32">
            <v>5</v>
          </cell>
          <cell r="BH32">
            <v>5</v>
          </cell>
          <cell r="BI32">
            <v>5</v>
          </cell>
          <cell r="BJ32">
            <v>5</v>
          </cell>
        </row>
        <row r="33">
          <cell r="A33" t="str">
            <v>葫芦功率</v>
          </cell>
          <cell r="C33" t="str">
            <v>1.5+0.2</v>
          </cell>
          <cell r="D33" t="str">
            <v>1.5+0.2</v>
          </cell>
          <cell r="E33" t="str">
            <v>1.5+0.2</v>
          </cell>
          <cell r="F33" t="str">
            <v>1.5+0.2</v>
          </cell>
          <cell r="G33" t="str">
            <v>1.5+0.2</v>
          </cell>
          <cell r="H33" t="str">
            <v>1.5+0.2</v>
          </cell>
          <cell r="I33" t="str">
            <v>3+0.4</v>
          </cell>
          <cell r="J33" t="str">
            <v>3+0.4</v>
          </cell>
          <cell r="K33" t="str">
            <v>3+0.4</v>
          </cell>
          <cell r="L33" t="str">
            <v>3+0.4</v>
          </cell>
          <cell r="M33" t="str">
            <v>3+0.4</v>
          </cell>
          <cell r="N33" t="str">
            <v>3+0.4</v>
          </cell>
          <cell r="O33" t="str">
            <v>3+0.4</v>
          </cell>
          <cell r="P33" t="str">
            <v>3+0.4</v>
          </cell>
          <cell r="Q33" t="str">
            <v>3+0.4</v>
          </cell>
          <cell r="R33" t="str">
            <v>4.5+0.4</v>
          </cell>
          <cell r="S33" t="str">
            <v>4.5+0.4</v>
          </cell>
          <cell r="T33" t="str">
            <v>4.5+0.4</v>
          </cell>
          <cell r="U33" t="str">
            <v>4.5+0.4</v>
          </cell>
          <cell r="V33" t="str">
            <v>4.5+0.4</v>
          </cell>
          <cell r="W33" t="str">
            <v>4.5+0.4</v>
          </cell>
          <cell r="X33" t="str">
            <v>4.5+0.4</v>
          </cell>
          <cell r="Y33" t="str">
            <v>4.5+0.4</v>
          </cell>
          <cell r="Z33" t="str">
            <v>4.5+0.4</v>
          </cell>
          <cell r="AA33" t="str">
            <v>4.5+0.4</v>
          </cell>
          <cell r="AB33" t="str">
            <v>4.5+0.4</v>
          </cell>
          <cell r="AC33" t="str">
            <v>4.5+0.4</v>
          </cell>
          <cell r="AD33" t="str">
            <v>4.5+0.4</v>
          </cell>
          <cell r="AE33" t="str">
            <v>4.5+0.4</v>
          </cell>
          <cell r="AF33" t="str">
            <v>4.5+0.4</v>
          </cell>
          <cell r="AG33" t="str">
            <v>7.5+0.8</v>
          </cell>
          <cell r="AH33" t="str">
            <v>7.5+0.8</v>
          </cell>
          <cell r="AI33" t="str">
            <v>7.5+0.8</v>
          </cell>
          <cell r="AJ33" t="str">
            <v>7.5+0.8</v>
          </cell>
          <cell r="AK33" t="str">
            <v>7.5+0.8</v>
          </cell>
          <cell r="AL33" t="str">
            <v>7.5+0.8</v>
          </cell>
          <cell r="AM33" t="str">
            <v>7.5+0.8</v>
          </cell>
          <cell r="AN33" t="str">
            <v>7.5+0.8</v>
          </cell>
          <cell r="AO33" t="str">
            <v>7.5+0.8</v>
          </cell>
          <cell r="AP33" t="str">
            <v>7.5+0.8</v>
          </cell>
          <cell r="AQ33" t="str">
            <v>7.5+0.8</v>
          </cell>
          <cell r="AR33" t="str">
            <v>7.5+0.8</v>
          </cell>
          <cell r="AS33" t="str">
            <v>7.5+0.8</v>
          </cell>
          <cell r="AT33" t="str">
            <v>7.5+0.8</v>
          </cell>
          <cell r="AU33" t="str">
            <v>7.5+0.8</v>
          </cell>
          <cell r="AV33" t="str">
            <v>7.5+0.8</v>
          </cell>
          <cell r="AW33" t="str">
            <v>7.5+0.8</v>
          </cell>
          <cell r="AX33" t="str">
            <v>7.5+0.8</v>
          </cell>
          <cell r="AY33" t="str">
            <v>7.5+0.8</v>
          </cell>
          <cell r="AZ33" t="str">
            <v>7.5+0.8</v>
          </cell>
          <cell r="BA33" t="str">
            <v>7.5+0.8</v>
          </cell>
          <cell r="BB33" t="str">
            <v>7.5+0.8</v>
          </cell>
          <cell r="BC33" t="str">
            <v>7.5+0.8</v>
          </cell>
          <cell r="BD33" t="str">
            <v>7.5+0.8</v>
          </cell>
          <cell r="BE33" t="str">
            <v>7.5+0.8</v>
          </cell>
          <cell r="BF33" t="str">
            <v>7.5+0.8</v>
          </cell>
          <cell r="BG33" t="str">
            <v>7.5+0.8</v>
          </cell>
          <cell r="BH33" t="str">
            <v>7.5+0.8</v>
          </cell>
          <cell r="BI33" t="str">
            <v>7.5+0.8</v>
          </cell>
          <cell r="BJ33" t="str">
            <v>7.5+0.8</v>
          </cell>
        </row>
        <row r="34">
          <cell r="A34" t="str">
            <v>提砂风机风量</v>
          </cell>
          <cell r="C34"/>
          <cell r="D34"/>
          <cell r="E34"/>
          <cell r="F34"/>
          <cell r="G34"/>
          <cell r="H34"/>
          <cell r="I34"/>
          <cell r="J34"/>
          <cell r="K34">
            <v>2</v>
          </cell>
          <cell r="L34">
            <v>2</v>
          </cell>
          <cell r="M34">
            <v>2</v>
          </cell>
          <cell r="N34">
            <v>2</v>
          </cell>
          <cell r="O34">
            <v>2</v>
          </cell>
          <cell r="P34">
            <v>2</v>
          </cell>
          <cell r="Q34">
            <v>2</v>
          </cell>
          <cell r="R34">
            <v>2</v>
          </cell>
          <cell r="S34">
            <v>2</v>
          </cell>
          <cell r="T34">
            <v>2</v>
          </cell>
          <cell r="U34"/>
          <cell r="V34"/>
          <cell r="W34"/>
          <cell r="X34">
            <v>2.4</v>
          </cell>
          <cell r="Y34">
            <v>2.4</v>
          </cell>
          <cell r="Z34">
            <v>2.4</v>
          </cell>
          <cell r="AA34"/>
          <cell r="AB34"/>
          <cell r="AC34"/>
          <cell r="AD34">
            <v>2.4</v>
          </cell>
          <cell r="AE34">
            <v>2.4</v>
          </cell>
          <cell r="AF34">
            <v>2.4</v>
          </cell>
          <cell r="AG34"/>
          <cell r="AH34"/>
          <cell r="AI34"/>
          <cell r="AJ34">
            <v>2.4</v>
          </cell>
          <cell r="AK34">
            <v>2.4</v>
          </cell>
          <cell r="AL34">
            <v>2.4</v>
          </cell>
          <cell r="AM34"/>
          <cell r="AN34"/>
          <cell r="AO34"/>
          <cell r="AP34"/>
          <cell r="AQ34"/>
          <cell r="AR34"/>
          <cell r="AS34"/>
          <cell r="AT34">
            <v>2.4</v>
          </cell>
          <cell r="AU34">
            <v>2.4</v>
          </cell>
          <cell r="AV34">
            <v>2.4</v>
          </cell>
          <cell r="AW34">
            <v>2.4</v>
          </cell>
          <cell r="AX34">
            <v>2.4</v>
          </cell>
          <cell r="AY34"/>
          <cell r="AZ34"/>
          <cell r="BA34"/>
          <cell r="BB34"/>
          <cell r="BC34"/>
          <cell r="BD34"/>
          <cell r="BE34"/>
          <cell r="BF34"/>
          <cell r="BG34"/>
          <cell r="BH34">
            <v>2.4</v>
          </cell>
          <cell r="BI34">
            <v>2.4</v>
          </cell>
          <cell r="BJ34">
            <v>2.4</v>
          </cell>
        </row>
        <row r="35">
          <cell r="A35" t="str">
            <v>提砂风机风压</v>
          </cell>
          <cell r="C35"/>
          <cell r="D35"/>
          <cell r="E35"/>
          <cell r="F35"/>
          <cell r="G35"/>
          <cell r="H35"/>
          <cell r="I35"/>
          <cell r="J35"/>
          <cell r="K35">
            <v>0.05</v>
          </cell>
          <cell r="L35">
            <v>0.05</v>
          </cell>
          <cell r="M35">
            <v>0.05</v>
          </cell>
          <cell r="N35">
            <v>0.05</v>
          </cell>
          <cell r="O35">
            <v>0.05</v>
          </cell>
          <cell r="P35">
            <v>0.05</v>
          </cell>
          <cell r="Q35">
            <v>0.05</v>
          </cell>
          <cell r="R35">
            <v>0.05</v>
          </cell>
          <cell r="S35">
            <v>0.05</v>
          </cell>
          <cell r="T35">
            <v>0.05</v>
          </cell>
          <cell r="U35"/>
          <cell r="V35"/>
          <cell r="W35"/>
          <cell r="X35">
            <v>0.06</v>
          </cell>
          <cell r="Y35">
            <v>0.06</v>
          </cell>
          <cell r="Z35">
            <v>0.06</v>
          </cell>
          <cell r="AA35"/>
          <cell r="AB35"/>
          <cell r="AC35"/>
          <cell r="AD35">
            <v>0.06</v>
          </cell>
          <cell r="AE35">
            <v>0.06</v>
          </cell>
          <cell r="AF35">
            <v>0.06</v>
          </cell>
          <cell r="AG35"/>
          <cell r="AH35"/>
          <cell r="AI35"/>
          <cell r="AJ35">
            <v>0.06</v>
          </cell>
          <cell r="AK35">
            <v>0.06</v>
          </cell>
          <cell r="AL35">
            <v>0.06</v>
          </cell>
          <cell r="AM35"/>
          <cell r="AN35"/>
          <cell r="AO35"/>
          <cell r="AP35"/>
          <cell r="AQ35"/>
          <cell r="AR35"/>
          <cell r="AS35"/>
          <cell r="AT35">
            <v>0.06</v>
          </cell>
          <cell r="AU35">
            <v>0.06</v>
          </cell>
          <cell r="AV35">
            <v>0.06</v>
          </cell>
          <cell r="AW35">
            <v>0.06</v>
          </cell>
          <cell r="AX35">
            <v>0.06</v>
          </cell>
          <cell r="AY35"/>
          <cell r="AZ35"/>
          <cell r="BA35"/>
          <cell r="BB35"/>
          <cell r="BC35"/>
          <cell r="BD35"/>
          <cell r="BE35"/>
          <cell r="BF35"/>
          <cell r="BG35"/>
          <cell r="BH35">
            <v>0.06</v>
          </cell>
          <cell r="BI35">
            <v>0.06</v>
          </cell>
          <cell r="BJ35">
            <v>0.06</v>
          </cell>
        </row>
        <row r="36">
          <cell r="A36" t="str">
            <v>提砂风机功率</v>
          </cell>
          <cell r="C36"/>
          <cell r="D36"/>
          <cell r="E36"/>
          <cell r="F36"/>
          <cell r="G36"/>
          <cell r="H36"/>
          <cell r="I36"/>
          <cell r="J36"/>
          <cell r="K36">
            <v>3.38</v>
          </cell>
          <cell r="L36">
            <v>3.38</v>
          </cell>
          <cell r="M36">
            <v>3.38</v>
          </cell>
          <cell r="N36">
            <v>3.38</v>
          </cell>
          <cell r="O36">
            <v>3.38</v>
          </cell>
          <cell r="P36">
            <v>3.38</v>
          </cell>
          <cell r="Q36">
            <v>3.38</v>
          </cell>
          <cell r="R36">
            <v>3.38</v>
          </cell>
          <cell r="S36">
            <v>3.38</v>
          </cell>
          <cell r="T36">
            <v>3.38</v>
          </cell>
          <cell r="U36"/>
          <cell r="V36"/>
          <cell r="W36"/>
          <cell r="X36">
            <v>4.68</v>
          </cell>
          <cell r="Y36">
            <v>4.68</v>
          </cell>
          <cell r="Z36">
            <v>4.68</v>
          </cell>
          <cell r="AA36"/>
          <cell r="AB36"/>
          <cell r="AC36"/>
          <cell r="AD36">
            <v>4.68</v>
          </cell>
          <cell r="AE36">
            <v>4.68</v>
          </cell>
          <cell r="AF36">
            <v>4.68</v>
          </cell>
          <cell r="AG36"/>
          <cell r="AH36"/>
          <cell r="AI36"/>
          <cell r="AJ36">
            <v>4.68</v>
          </cell>
          <cell r="AK36">
            <v>4.68</v>
          </cell>
          <cell r="AL36">
            <v>4.68</v>
          </cell>
          <cell r="AM36"/>
          <cell r="AN36"/>
          <cell r="AO36"/>
          <cell r="AP36"/>
          <cell r="AQ36"/>
          <cell r="AR36"/>
          <cell r="AS36"/>
          <cell r="AT36">
            <v>4.68</v>
          </cell>
          <cell r="AU36">
            <v>4.68</v>
          </cell>
          <cell r="AV36">
            <v>4.68</v>
          </cell>
          <cell r="AW36">
            <v>4.68</v>
          </cell>
          <cell r="AX36">
            <v>4.68</v>
          </cell>
          <cell r="AY36"/>
          <cell r="AZ36"/>
          <cell r="BA36"/>
          <cell r="BB36"/>
          <cell r="BC36"/>
          <cell r="BD36"/>
          <cell r="BE36"/>
          <cell r="BF36"/>
          <cell r="BG36"/>
          <cell r="BH36">
            <v>4.68</v>
          </cell>
          <cell r="BI36">
            <v>4.68</v>
          </cell>
          <cell r="BJ36">
            <v>4.68</v>
          </cell>
        </row>
        <row r="37">
          <cell r="A37" t="str">
            <v>砂水分离器工作数量</v>
          </cell>
          <cell r="C37"/>
          <cell r="D37"/>
          <cell r="E37"/>
          <cell r="F37"/>
          <cell r="G37"/>
          <cell r="H37"/>
          <cell r="I37"/>
          <cell r="J37"/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  <cell r="S37">
            <v>1</v>
          </cell>
          <cell r="T37">
            <v>1</v>
          </cell>
          <cell r="U37"/>
          <cell r="V37"/>
          <cell r="W37"/>
          <cell r="X37">
            <v>1</v>
          </cell>
          <cell r="Y37">
            <v>1</v>
          </cell>
          <cell r="Z37">
            <v>1</v>
          </cell>
          <cell r="AA37"/>
          <cell r="AB37"/>
          <cell r="AC37"/>
          <cell r="AD37">
            <v>1</v>
          </cell>
          <cell r="AE37">
            <v>1</v>
          </cell>
          <cell r="AF37">
            <v>1</v>
          </cell>
          <cell r="AG37"/>
          <cell r="AH37"/>
          <cell r="AI37"/>
          <cell r="AJ37">
            <v>1</v>
          </cell>
          <cell r="AK37">
            <v>1</v>
          </cell>
          <cell r="AL37">
            <v>1</v>
          </cell>
          <cell r="AM37"/>
          <cell r="AN37"/>
          <cell r="AO37"/>
          <cell r="AP37"/>
          <cell r="AQ37"/>
          <cell r="AR37"/>
          <cell r="AS37"/>
          <cell r="AT37">
            <v>1</v>
          </cell>
          <cell r="AU37">
            <v>1</v>
          </cell>
          <cell r="AV37">
            <v>2</v>
          </cell>
          <cell r="AW37">
            <v>2</v>
          </cell>
          <cell r="AX37">
            <v>2</v>
          </cell>
          <cell r="AY37"/>
          <cell r="AZ37"/>
          <cell r="BA37"/>
          <cell r="BB37"/>
          <cell r="BC37"/>
          <cell r="BD37"/>
          <cell r="BE37"/>
          <cell r="BF37"/>
          <cell r="BG37"/>
          <cell r="BH37">
            <v>2</v>
          </cell>
          <cell r="BI37">
            <v>2</v>
          </cell>
          <cell r="BJ37">
            <v>2</v>
          </cell>
        </row>
        <row r="38">
          <cell r="A38" t="str">
            <v>砂水分离器备用数量</v>
          </cell>
          <cell r="C38"/>
          <cell r="D38"/>
          <cell r="E38"/>
          <cell r="F38"/>
          <cell r="G38"/>
          <cell r="H38"/>
          <cell r="I38"/>
          <cell r="J38"/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/>
          <cell r="V38"/>
          <cell r="W38"/>
          <cell r="X38">
            <v>1</v>
          </cell>
          <cell r="Y38">
            <v>1</v>
          </cell>
          <cell r="Z38">
            <v>1</v>
          </cell>
          <cell r="AA38"/>
          <cell r="AB38"/>
          <cell r="AC38"/>
          <cell r="AD38">
            <v>1</v>
          </cell>
          <cell r="AE38">
            <v>1</v>
          </cell>
          <cell r="AF38">
            <v>1</v>
          </cell>
          <cell r="AG38"/>
          <cell r="AH38"/>
          <cell r="AI38"/>
          <cell r="AJ38">
            <v>1</v>
          </cell>
          <cell r="AK38">
            <v>1</v>
          </cell>
          <cell r="AL38">
            <v>1</v>
          </cell>
          <cell r="AM38"/>
          <cell r="AN38"/>
          <cell r="AO38"/>
          <cell r="AP38"/>
          <cell r="AQ38"/>
          <cell r="AR38"/>
          <cell r="AS38"/>
          <cell r="AT38">
            <v>1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0</v>
          </cell>
          <cell r="BI38">
            <v>0</v>
          </cell>
          <cell r="BJ38">
            <v>0</v>
          </cell>
        </row>
        <row r="39">
          <cell r="A39" t="str">
            <v>进水闸门宽</v>
          </cell>
          <cell r="C39"/>
          <cell r="D39"/>
          <cell r="E39"/>
          <cell r="F39"/>
          <cell r="G39"/>
          <cell r="H39"/>
          <cell r="I39"/>
          <cell r="J39"/>
          <cell r="K39">
            <v>0.7</v>
          </cell>
          <cell r="L39">
            <v>0.8</v>
          </cell>
          <cell r="M39">
            <v>0.8</v>
          </cell>
          <cell r="N39">
            <v>0.8</v>
          </cell>
          <cell r="O39">
            <v>0.8</v>
          </cell>
          <cell r="P39">
            <v>0.8</v>
          </cell>
          <cell r="Q39">
            <v>0.8</v>
          </cell>
          <cell r="R39">
            <v>1</v>
          </cell>
          <cell r="S39">
            <v>1</v>
          </cell>
          <cell r="T39">
            <v>1</v>
          </cell>
          <cell r="U39"/>
          <cell r="V39"/>
          <cell r="W39"/>
          <cell r="X39">
            <v>1</v>
          </cell>
          <cell r="Y39">
            <v>1</v>
          </cell>
          <cell r="Z39">
            <v>1</v>
          </cell>
          <cell r="AA39"/>
          <cell r="AB39"/>
          <cell r="AC39"/>
          <cell r="AD39">
            <v>1.2</v>
          </cell>
          <cell r="AE39">
            <v>1.2</v>
          </cell>
          <cell r="AF39">
            <v>1.2</v>
          </cell>
          <cell r="AG39"/>
          <cell r="AH39"/>
          <cell r="AI39"/>
          <cell r="AJ39">
            <v>1.2</v>
          </cell>
          <cell r="AK39">
            <v>1.2</v>
          </cell>
          <cell r="AL39">
            <v>1.2</v>
          </cell>
          <cell r="AM39"/>
          <cell r="AN39"/>
          <cell r="AO39"/>
          <cell r="AP39"/>
          <cell r="AQ39"/>
          <cell r="AR39"/>
          <cell r="AS39"/>
          <cell r="AT39">
            <v>1.3</v>
          </cell>
          <cell r="AU39">
            <v>1.3</v>
          </cell>
          <cell r="AV39">
            <v>1</v>
          </cell>
          <cell r="AW39">
            <v>1</v>
          </cell>
          <cell r="AX39">
            <v>1</v>
          </cell>
          <cell r="AY39"/>
          <cell r="AZ39"/>
          <cell r="BA39"/>
          <cell r="BB39"/>
          <cell r="BC39"/>
          <cell r="BD39"/>
          <cell r="BE39"/>
          <cell r="BF39"/>
          <cell r="BG39"/>
          <cell r="BH39">
            <v>1.2</v>
          </cell>
          <cell r="BI39">
            <v>1.2</v>
          </cell>
          <cell r="BJ39">
            <v>1.2</v>
          </cell>
        </row>
        <row r="40">
          <cell r="A40" t="str">
            <v>闸后进水渠道内水深h10</v>
          </cell>
          <cell r="C40"/>
          <cell r="D40"/>
          <cell r="E40"/>
          <cell r="F40"/>
          <cell r="G40"/>
          <cell r="H40"/>
          <cell r="I40"/>
          <cell r="J40"/>
          <cell r="K40">
            <v>0.8</v>
          </cell>
          <cell r="L40">
            <v>0.8</v>
          </cell>
          <cell r="M40">
            <v>0.8</v>
          </cell>
          <cell r="N40">
            <v>0.8</v>
          </cell>
          <cell r="O40">
            <v>0.8</v>
          </cell>
          <cell r="P40">
            <v>0.8</v>
          </cell>
          <cell r="Q40">
            <v>0.8</v>
          </cell>
          <cell r="R40">
            <v>0.8</v>
          </cell>
          <cell r="S40">
            <v>0.8</v>
          </cell>
          <cell r="T40">
            <v>0.8</v>
          </cell>
          <cell r="U40"/>
          <cell r="V40"/>
          <cell r="W40"/>
          <cell r="X40">
            <v>0.8</v>
          </cell>
          <cell r="Y40">
            <v>0.8</v>
          </cell>
          <cell r="Z40">
            <v>0.8</v>
          </cell>
          <cell r="AA40"/>
          <cell r="AB40"/>
          <cell r="AC40"/>
          <cell r="AD40">
            <v>0.8</v>
          </cell>
          <cell r="AE40">
            <v>0.8</v>
          </cell>
          <cell r="AF40">
            <v>0.8</v>
          </cell>
          <cell r="AG40"/>
          <cell r="AH40"/>
          <cell r="AI40"/>
          <cell r="AJ40">
            <v>1.2</v>
          </cell>
          <cell r="AK40">
            <v>1.2</v>
          </cell>
          <cell r="AL40">
            <v>1.2</v>
          </cell>
          <cell r="AM40"/>
          <cell r="AN40"/>
          <cell r="AO40"/>
          <cell r="AP40"/>
          <cell r="AQ40"/>
          <cell r="AR40"/>
          <cell r="AS40"/>
          <cell r="AT40">
            <v>1.3</v>
          </cell>
          <cell r="AU40">
            <v>1.3</v>
          </cell>
          <cell r="AV40">
            <v>0.8</v>
          </cell>
          <cell r="AW40">
            <v>0.8</v>
          </cell>
          <cell r="AX40">
            <v>0.8</v>
          </cell>
          <cell r="AY40"/>
          <cell r="AZ40"/>
          <cell r="BA40"/>
          <cell r="BB40"/>
          <cell r="BC40"/>
          <cell r="BD40"/>
          <cell r="BE40"/>
          <cell r="BF40"/>
          <cell r="BG40"/>
          <cell r="BH40">
            <v>0.8</v>
          </cell>
          <cell r="BI40">
            <v>0.8</v>
          </cell>
          <cell r="BJ40">
            <v>0.8</v>
          </cell>
        </row>
        <row r="41">
          <cell r="A41" t="str">
            <v>水泵出水管管径</v>
          </cell>
          <cell r="C41">
            <v>300</v>
          </cell>
          <cell r="D41">
            <v>300</v>
          </cell>
          <cell r="E41">
            <v>300</v>
          </cell>
          <cell r="F41">
            <v>400</v>
          </cell>
          <cell r="G41">
            <v>400</v>
          </cell>
          <cell r="H41">
            <v>400</v>
          </cell>
          <cell r="I41">
            <v>500</v>
          </cell>
          <cell r="J41">
            <v>500</v>
          </cell>
          <cell r="K41">
            <v>500</v>
          </cell>
          <cell r="L41">
            <v>600</v>
          </cell>
          <cell r="M41">
            <v>600</v>
          </cell>
          <cell r="N41">
            <v>600</v>
          </cell>
          <cell r="O41">
            <v>600</v>
          </cell>
          <cell r="P41">
            <v>600</v>
          </cell>
          <cell r="Q41">
            <v>600</v>
          </cell>
          <cell r="R41">
            <v>600</v>
          </cell>
          <cell r="S41">
            <v>600</v>
          </cell>
          <cell r="T41">
            <v>600</v>
          </cell>
          <cell r="U41">
            <v>600</v>
          </cell>
          <cell r="V41">
            <v>600</v>
          </cell>
          <cell r="W41">
            <v>600</v>
          </cell>
          <cell r="X41">
            <v>600</v>
          </cell>
          <cell r="Y41">
            <v>600</v>
          </cell>
          <cell r="Z41">
            <v>600</v>
          </cell>
          <cell r="AA41">
            <v>700</v>
          </cell>
          <cell r="AB41">
            <v>700</v>
          </cell>
          <cell r="AC41">
            <v>700</v>
          </cell>
          <cell r="AD41">
            <v>700</v>
          </cell>
          <cell r="AE41">
            <v>700</v>
          </cell>
          <cell r="AF41">
            <v>700</v>
          </cell>
          <cell r="AG41">
            <v>700</v>
          </cell>
          <cell r="AH41">
            <v>700</v>
          </cell>
          <cell r="AI41">
            <v>700</v>
          </cell>
          <cell r="AJ41">
            <v>700</v>
          </cell>
          <cell r="AK41">
            <v>700</v>
          </cell>
          <cell r="AL41">
            <v>700</v>
          </cell>
          <cell r="AM41">
            <v>700</v>
          </cell>
          <cell r="AN41">
            <v>700</v>
          </cell>
          <cell r="AO41">
            <v>700</v>
          </cell>
          <cell r="AP41">
            <v>800</v>
          </cell>
          <cell r="AQ41">
            <v>800</v>
          </cell>
          <cell r="AR41">
            <v>800</v>
          </cell>
          <cell r="AS41">
            <v>800</v>
          </cell>
          <cell r="AT41">
            <v>800</v>
          </cell>
          <cell r="AU41">
            <v>800</v>
          </cell>
          <cell r="AV41">
            <v>800</v>
          </cell>
          <cell r="AW41">
            <v>800</v>
          </cell>
          <cell r="AX41">
            <v>800</v>
          </cell>
          <cell r="AY41">
            <v>800</v>
          </cell>
          <cell r="AZ41">
            <v>800</v>
          </cell>
          <cell r="BA41">
            <v>800</v>
          </cell>
          <cell r="BB41">
            <v>800</v>
          </cell>
          <cell r="BC41">
            <v>800</v>
          </cell>
          <cell r="BD41">
            <v>800</v>
          </cell>
          <cell r="BE41">
            <v>900</v>
          </cell>
          <cell r="BF41">
            <v>900</v>
          </cell>
          <cell r="BG41">
            <v>900</v>
          </cell>
          <cell r="BH41">
            <v>900</v>
          </cell>
          <cell r="BI41">
            <v>900</v>
          </cell>
          <cell r="BJ41">
            <v>900</v>
          </cell>
        </row>
        <row r="42">
          <cell r="A42" t="str">
            <v>排渣管管径d2</v>
          </cell>
          <cell r="C42"/>
          <cell r="D42"/>
          <cell r="E42"/>
          <cell r="F42"/>
          <cell r="G42"/>
          <cell r="H42"/>
          <cell r="I42"/>
          <cell r="J42"/>
          <cell r="K42">
            <v>200</v>
          </cell>
          <cell r="L42">
            <v>200</v>
          </cell>
          <cell r="M42">
            <v>200</v>
          </cell>
          <cell r="N42">
            <v>200</v>
          </cell>
          <cell r="O42">
            <v>200</v>
          </cell>
          <cell r="P42">
            <v>200</v>
          </cell>
          <cell r="Q42">
            <v>200</v>
          </cell>
          <cell r="R42">
            <v>200</v>
          </cell>
          <cell r="S42">
            <v>200</v>
          </cell>
          <cell r="T42">
            <v>200</v>
          </cell>
          <cell r="U42"/>
          <cell r="V42"/>
          <cell r="W42"/>
          <cell r="X42">
            <v>200</v>
          </cell>
          <cell r="Y42">
            <v>200</v>
          </cell>
          <cell r="Z42">
            <v>200</v>
          </cell>
          <cell r="AA42"/>
          <cell r="AB42"/>
          <cell r="AC42"/>
          <cell r="AD42">
            <v>200</v>
          </cell>
          <cell r="AE42">
            <v>200</v>
          </cell>
          <cell r="AF42">
            <v>200</v>
          </cell>
          <cell r="AG42"/>
          <cell r="AH42"/>
          <cell r="AI42"/>
          <cell r="AJ42">
            <v>200</v>
          </cell>
          <cell r="AK42">
            <v>200</v>
          </cell>
          <cell r="AL42">
            <v>200</v>
          </cell>
          <cell r="AM42"/>
          <cell r="AN42"/>
          <cell r="AO42"/>
          <cell r="AP42"/>
          <cell r="AQ42"/>
          <cell r="AR42"/>
          <cell r="AS42"/>
          <cell r="AT42">
            <v>200</v>
          </cell>
          <cell r="AU42">
            <v>200</v>
          </cell>
          <cell r="AV42">
            <v>200</v>
          </cell>
          <cell r="AW42">
            <v>200</v>
          </cell>
          <cell r="AX42">
            <v>200</v>
          </cell>
          <cell r="AY42"/>
          <cell r="AZ42"/>
          <cell r="BA42"/>
          <cell r="BB42"/>
          <cell r="BC42"/>
          <cell r="BD42"/>
          <cell r="BE42"/>
          <cell r="BF42"/>
          <cell r="BG42"/>
          <cell r="BH42">
            <v>200</v>
          </cell>
          <cell r="BI42">
            <v>200</v>
          </cell>
          <cell r="BJ42">
            <v>200</v>
          </cell>
        </row>
        <row r="43">
          <cell r="A43" t="str">
            <v>排砂管管径d3</v>
          </cell>
          <cell r="C43"/>
          <cell r="D43"/>
          <cell r="E43"/>
          <cell r="F43"/>
          <cell r="G43"/>
          <cell r="H43"/>
          <cell r="I43"/>
          <cell r="J43"/>
          <cell r="K43">
            <v>200</v>
          </cell>
          <cell r="L43">
            <v>200</v>
          </cell>
          <cell r="M43">
            <v>200</v>
          </cell>
          <cell r="N43">
            <v>200</v>
          </cell>
          <cell r="O43">
            <v>200</v>
          </cell>
          <cell r="P43">
            <v>200</v>
          </cell>
          <cell r="Q43">
            <v>200</v>
          </cell>
          <cell r="R43">
            <v>200</v>
          </cell>
          <cell r="S43">
            <v>200</v>
          </cell>
          <cell r="T43">
            <v>200</v>
          </cell>
          <cell r="U43"/>
          <cell r="V43"/>
          <cell r="W43"/>
          <cell r="X43">
            <v>200</v>
          </cell>
          <cell r="Y43">
            <v>200</v>
          </cell>
          <cell r="Z43">
            <v>200</v>
          </cell>
          <cell r="AA43"/>
          <cell r="AB43"/>
          <cell r="AC43"/>
          <cell r="AD43">
            <v>200</v>
          </cell>
          <cell r="AE43">
            <v>200</v>
          </cell>
          <cell r="AF43">
            <v>200</v>
          </cell>
          <cell r="AG43"/>
          <cell r="AH43"/>
          <cell r="AI43"/>
          <cell r="AJ43">
            <v>200</v>
          </cell>
          <cell r="AK43">
            <v>200</v>
          </cell>
          <cell r="AL43">
            <v>200</v>
          </cell>
          <cell r="AM43"/>
          <cell r="AN43"/>
          <cell r="AO43"/>
          <cell r="AP43"/>
          <cell r="AQ43"/>
          <cell r="AR43"/>
          <cell r="AS43"/>
          <cell r="AT43">
            <v>200</v>
          </cell>
          <cell r="AU43">
            <v>200</v>
          </cell>
          <cell r="AV43">
            <v>200</v>
          </cell>
          <cell r="AW43">
            <v>200</v>
          </cell>
          <cell r="AX43">
            <v>200</v>
          </cell>
          <cell r="AY43"/>
          <cell r="AZ43"/>
          <cell r="BA43"/>
          <cell r="BB43"/>
          <cell r="BC43"/>
          <cell r="BD43"/>
          <cell r="BE43"/>
          <cell r="BF43"/>
          <cell r="BG43"/>
          <cell r="BH43">
            <v>200</v>
          </cell>
          <cell r="BI43">
            <v>200</v>
          </cell>
          <cell r="BJ43">
            <v>200</v>
          </cell>
        </row>
        <row r="44">
          <cell r="A44" t="str">
            <v>放空时间</v>
          </cell>
          <cell r="C44"/>
          <cell r="D44"/>
          <cell r="E44"/>
          <cell r="F44"/>
          <cell r="G44"/>
          <cell r="H44"/>
          <cell r="I44"/>
          <cell r="J44"/>
          <cell r="K44">
            <v>2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  <cell r="R44">
            <v>2</v>
          </cell>
          <cell r="S44">
            <v>2</v>
          </cell>
          <cell r="T44">
            <v>2</v>
          </cell>
          <cell r="U44"/>
          <cell r="V44"/>
          <cell r="W44"/>
          <cell r="X44">
            <v>2</v>
          </cell>
          <cell r="Y44">
            <v>2</v>
          </cell>
          <cell r="Z44">
            <v>2</v>
          </cell>
          <cell r="AA44"/>
          <cell r="AB44"/>
          <cell r="AC44"/>
          <cell r="AD44">
            <v>2</v>
          </cell>
          <cell r="AE44">
            <v>2</v>
          </cell>
          <cell r="AF44">
            <v>2</v>
          </cell>
          <cell r="AG44"/>
          <cell r="AH44"/>
          <cell r="AI44"/>
          <cell r="AJ44">
            <v>2</v>
          </cell>
          <cell r="AK44">
            <v>2</v>
          </cell>
          <cell r="AL44">
            <v>2</v>
          </cell>
          <cell r="AM44"/>
          <cell r="AN44"/>
          <cell r="AO44"/>
          <cell r="AP44"/>
          <cell r="AQ44"/>
          <cell r="AR44"/>
          <cell r="AS44"/>
          <cell r="AT44">
            <v>2</v>
          </cell>
          <cell r="AU44">
            <v>2</v>
          </cell>
          <cell r="AV44">
            <v>2</v>
          </cell>
          <cell r="AW44">
            <v>2</v>
          </cell>
          <cell r="AX44">
            <v>2</v>
          </cell>
          <cell r="AY44"/>
          <cell r="AZ44"/>
          <cell r="BA44"/>
          <cell r="BB44"/>
          <cell r="BC44"/>
          <cell r="BD44"/>
          <cell r="BE44"/>
          <cell r="BF44"/>
          <cell r="BG44"/>
          <cell r="BH44">
            <v>2</v>
          </cell>
          <cell r="BI44">
            <v>2</v>
          </cell>
          <cell r="BJ44">
            <v>2</v>
          </cell>
        </row>
        <row r="45">
          <cell r="A45" t="str">
            <v>放空管管径d4</v>
          </cell>
          <cell r="C45"/>
          <cell r="D45"/>
          <cell r="E45"/>
          <cell r="F45"/>
          <cell r="G45"/>
          <cell r="H45"/>
          <cell r="I45"/>
          <cell r="J45"/>
          <cell r="K45">
            <v>200</v>
          </cell>
          <cell r="L45">
            <v>200</v>
          </cell>
          <cell r="M45">
            <v>200</v>
          </cell>
          <cell r="N45">
            <v>200</v>
          </cell>
          <cell r="O45">
            <v>200</v>
          </cell>
          <cell r="P45">
            <v>200</v>
          </cell>
          <cell r="Q45">
            <v>200</v>
          </cell>
          <cell r="R45">
            <v>200</v>
          </cell>
          <cell r="S45">
            <v>200</v>
          </cell>
          <cell r="T45">
            <v>200</v>
          </cell>
          <cell r="U45"/>
          <cell r="V45"/>
          <cell r="W45"/>
          <cell r="X45">
            <v>200</v>
          </cell>
          <cell r="Y45">
            <v>200</v>
          </cell>
          <cell r="Z45">
            <v>200</v>
          </cell>
          <cell r="AA45"/>
          <cell r="AB45"/>
          <cell r="AC45"/>
          <cell r="AD45">
            <v>200</v>
          </cell>
          <cell r="AE45">
            <v>200</v>
          </cell>
          <cell r="AF45">
            <v>200</v>
          </cell>
          <cell r="AG45"/>
          <cell r="AH45"/>
          <cell r="AI45"/>
          <cell r="AJ45">
            <v>200</v>
          </cell>
          <cell r="AK45">
            <v>200</v>
          </cell>
          <cell r="AL45">
            <v>200</v>
          </cell>
          <cell r="AM45"/>
          <cell r="AN45"/>
          <cell r="AO45"/>
          <cell r="AP45"/>
          <cell r="AQ45"/>
          <cell r="AR45"/>
          <cell r="AS45"/>
          <cell r="AT45">
            <v>200</v>
          </cell>
          <cell r="AU45">
            <v>200</v>
          </cell>
          <cell r="AV45">
            <v>200</v>
          </cell>
          <cell r="AW45">
            <v>200</v>
          </cell>
          <cell r="AX45">
            <v>200</v>
          </cell>
          <cell r="AY45"/>
          <cell r="AZ45"/>
          <cell r="BA45"/>
          <cell r="BB45"/>
          <cell r="BC45"/>
          <cell r="BD45"/>
          <cell r="BE45"/>
          <cell r="BF45"/>
          <cell r="BG45"/>
          <cell r="BH45">
            <v>200</v>
          </cell>
          <cell r="BI45">
            <v>200</v>
          </cell>
          <cell r="BJ45">
            <v>200</v>
          </cell>
        </row>
        <row r="46">
          <cell r="A46" t="str">
            <v>曝气干管管径d5</v>
          </cell>
          <cell r="C46"/>
          <cell r="D46"/>
          <cell r="E46"/>
          <cell r="F46"/>
          <cell r="G46"/>
          <cell r="H46"/>
          <cell r="I46"/>
          <cell r="J46"/>
          <cell r="K46">
            <v>150</v>
          </cell>
          <cell r="L46">
            <v>150</v>
          </cell>
          <cell r="M46">
            <v>150</v>
          </cell>
          <cell r="N46">
            <v>150</v>
          </cell>
          <cell r="O46">
            <v>150</v>
          </cell>
          <cell r="P46">
            <v>150</v>
          </cell>
          <cell r="Q46">
            <v>150</v>
          </cell>
          <cell r="R46">
            <v>150</v>
          </cell>
          <cell r="S46">
            <v>150</v>
          </cell>
          <cell r="T46">
            <v>150</v>
          </cell>
          <cell r="U46"/>
          <cell r="V46"/>
          <cell r="W46"/>
          <cell r="X46">
            <v>150</v>
          </cell>
          <cell r="Y46">
            <v>150</v>
          </cell>
          <cell r="Z46">
            <v>150</v>
          </cell>
          <cell r="AA46"/>
          <cell r="AB46"/>
          <cell r="AC46"/>
          <cell r="AD46">
            <v>150</v>
          </cell>
          <cell r="AE46">
            <v>150</v>
          </cell>
          <cell r="AF46">
            <v>150</v>
          </cell>
          <cell r="AG46"/>
          <cell r="AH46"/>
          <cell r="AI46"/>
          <cell r="AJ46">
            <v>150</v>
          </cell>
          <cell r="AK46">
            <v>150</v>
          </cell>
          <cell r="AL46">
            <v>150</v>
          </cell>
          <cell r="AM46"/>
          <cell r="AN46"/>
          <cell r="AO46"/>
          <cell r="AP46"/>
          <cell r="AQ46"/>
          <cell r="AR46"/>
          <cell r="AS46"/>
          <cell r="AT46">
            <v>150</v>
          </cell>
          <cell r="AU46">
            <v>150</v>
          </cell>
          <cell r="AV46">
            <v>150</v>
          </cell>
          <cell r="AW46">
            <v>150</v>
          </cell>
          <cell r="AX46">
            <v>150</v>
          </cell>
          <cell r="AY46"/>
          <cell r="AZ46"/>
          <cell r="BA46"/>
          <cell r="BB46"/>
          <cell r="BC46"/>
          <cell r="BD46"/>
          <cell r="BE46"/>
          <cell r="BF46"/>
          <cell r="BG46"/>
          <cell r="BH46">
            <v>150</v>
          </cell>
          <cell r="BI46">
            <v>150</v>
          </cell>
          <cell r="BJ46">
            <v>150</v>
          </cell>
        </row>
        <row r="47">
          <cell r="A47" t="str">
            <v>曝气支管管径d6</v>
          </cell>
          <cell r="C47"/>
          <cell r="D47"/>
          <cell r="E47"/>
          <cell r="F47"/>
          <cell r="G47"/>
          <cell r="H47"/>
          <cell r="I47"/>
          <cell r="J47"/>
          <cell r="K47">
            <v>50</v>
          </cell>
          <cell r="L47">
            <v>50</v>
          </cell>
          <cell r="M47">
            <v>50</v>
          </cell>
          <cell r="N47">
            <v>50</v>
          </cell>
          <cell r="O47">
            <v>50</v>
          </cell>
          <cell r="P47">
            <v>50</v>
          </cell>
          <cell r="Q47">
            <v>50</v>
          </cell>
          <cell r="R47">
            <v>50</v>
          </cell>
          <cell r="S47">
            <v>50</v>
          </cell>
          <cell r="T47">
            <v>50</v>
          </cell>
          <cell r="U47"/>
          <cell r="V47"/>
          <cell r="W47"/>
          <cell r="X47">
            <v>50</v>
          </cell>
          <cell r="Y47">
            <v>50</v>
          </cell>
          <cell r="Z47">
            <v>50</v>
          </cell>
          <cell r="AA47"/>
          <cell r="AB47"/>
          <cell r="AC47"/>
          <cell r="AD47">
            <v>50</v>
          </cell>
          <cell r="AE47">
            <v>50</v>
          </cell>
          <cell r="AF47">
            <v>50</v>
          </cell>
          <cell r="AG47"/>
          <cell r="AH47"/>
          <cell r="AI47"/>
          <cell r="AJ47">
            <v>50</v>
          </cell>
          <cell r="AK47">
            <v>50</v>
          </cell>
          <cell r="AL47">
            <v>50</v>
          </cell>
          <cell r="AM47"/>
          <cell r="AN47"/>
          <cell r="AO47"/>
          <cell r="AP47"/>
          <cell r="AQ47"/>
          <cell r="AR47"/>
          <cell r="AS47"/>
          <cell r="AT47">
            <v>50</v>
          </cell>
          <cell r="AU47">
            <v>50</v>
          </cell>
          <cell r="AV47">
            <v>50</v>
          </cell>
          <cell r="AW47">
            <v>50</v>
          </cell>
          <cell r="AX47">
            <v>50</v>
          </cell>
          <cell r="AY47"/>
          <cell r="AZ47"/>
          <cell r="BA47"/>
          <cell r="BB47"/>
          <cell r="BC47"/>
          <cell r="BD47"/>
          <cell r="BE47"/>
          <cell r="BF47"/>
          <cell r="BG47"/>
          <cell r="BH47">
            <v>50</v>
          </cell>
          <cell r="BI47">
            <v>50</v>
          </cell>
          <cell r="BJ47">
            <v>50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自定义 9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06496B"/>
      </a:accent1>
      <a:accent2>
        <a:srgbClr val="327270"/>
      </a:accent2>
      <a:accent3>
        <a:srgbClr val="78BD9B"/>
      </a:accent3>
      <a:accent4>
        <a:srgbClr val="E2EEC0"/>
      </a:accent4>
      <a:accent5>
        <a:srgbClr val="A9D7A8"/>
      </a:accent5>
      <a:accent6>
        <a:srgbClr val="D26C6C"/>
      </a:accent6>
      <a:hlink>
        <a:srgbClr val="46A0C9"/>
      </a:hlink>
      <a:folHlink>
        <a:srgbClr val="9A60A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176"/>
  <sheetViews>
    <sheetView showGridLines="0" zoomScaleNormal="100" workbookViewId="0">
      <selection activeCell="B5" sqref="B5"/>
    </sheetView>
  </sheetViews>
  <sheetFormatPr defaultColWidth="9" defaultRowHeight="16.5"/>
  <cols>
    <col min="1" max="1" width="30.125" style="45" customWidth="1" collapsed="1"/>
    <col min="2" max="2" width="19.375" style="45" bestFit="1" customWidth="1" collapsed="1"/>
    <col min="3" max="3" width="17.625" style="45" customWidth="1" collapsed="1"/>
    <col min="4" max="4" width="12.625" style="45" customWidth="1" collapsed="1"/>
    <col min="5" max="5" width="51" style="45" customWidth="1" collapsed="1"/>
    <col min="6" max="6" width="27.625" style="45" customWidth="1" collapsed="1"/>
    <col min="7" max="7" width="15.25" style="45" customWidth="1" collapsed="1"/>
    <col min="8" max="8" width="15.125" style="110" customWidth="1" collapsed="1"/>
    <col min="9" max="9" width="26" style="45" customWidth="1" collapsed="1"/>
    <col min="10" max="10" width="10.375" style="45" customWidth="1" collapsed="1"/>
    <col min="11" max="11" width="10" style="45" customWidth="1" collapsed="1"/>
    <col min="12" max="16384" width="9" style="45" collapsed="1"/>
  </cols>
  <sheetData>
    <row r="1" spans="1:11" ht="18">
      <c r="A1" s="231" t="s">
        <v>87</v>
      </c>
      <c r="B1" s="232"/>
      <c r="C1" s="232"/>
      <c r="D1" s="232"/>
      <c r="E1" s="232"/>
      <c r="F1" s="233" t="s">
        <v>88</v>
      </c>
      <c r="G1" s="232"/>
      <c r="H1" s="232"/>
      <c r="I1" s="232"/>
      <c r="J1" s="232"/>
      <c r="K1" s="234"/>
    </row>
    <row r="2" spans="1:11">
      <c r="A2" s="235" t="s">
        <v>434</v>
      </c>
      <c r="B2" s="236"/>
      <c r="C2" s="236"/>
      <c r="D2" s="236"/>
      <c r="E2" s="236"/>
      <c r="F2" s="236"/>
      <c r="G2" s="236"/>
      <c r="H2" s="236"/>
      <c r="I2" s="236"/>
      <c r="J2" s="236"/>
      <c r="K2" s="237"/>
    </row>
    <row r="3" spans="1:11">
      <c r="A3" s="46" t="s">
        <v>89</v>
      </c>
      <c r="B3" s="47" t="s">
        <v>90</v>
      </c>
      <c r="C3" s="47"/>
      <c r="D3" s="47" t="s">
        <v>91</v>
      </c>
      <c r="E3" s="48" t="s">
        <v>92</v>
      </c>
      <c r="F3" s="222"/>
      <c r="G3" s="223"/>
      <c r="H3" s="223"/>
      <c r="I3" s="223"/>
      <c r="J3" s="223"/>
      <c r="K3" s="224"/>
    </row>
    <row r="4" spans="1:11">
      <c r="A4" s="51" t="s">
        <v>440</v>
      </c>
      <c r="B4" s="52">
        <v>60000</v>
      </c>
      <c r="C4" s="53"/>
      <c r="D4" s="54" t="s">
        <v>93</v>
      </c>
      <c r="E4" s="55"/>
      <c r="F4" s="61"/>
      <c r="G4" s="207"/>
      <c r="H4" s="207"/>
      <c r="I4" s="207"/>
      <c r="J4" s="207"/>
      <c r="K4" s="225"/>
    </row>
    <row r="5" spans="1:11">
      <c r="A5" s="57" t="s">
        <v>94</v>
      </c>
      <c r="B5" s="58">
        <f>设计流量Q*1000/86400</f>
        <v>694.44444444444446</v>
      </c>
      <c r="C5" s="59"/>
      <c r="D5" s="45" t="s">
        <v>95</v>
      </c>
      <c r="E5" s="55"/>
      <c r="F5" s="60" t="s">
        <v>96</v>
      </c>
      <c r="G5" s="217" t="s">
        <v>97</v>
      </c>
      <c r="H5" s="207"/>
      <c r="I5" s="207"/>
      <c r="J5" s="207"/>
      <c r="K5" s="225"/>
    </row>
    <row r="6" spans="1:11">
      <c r="A6" s="51" t="s">
        <v>98</v>
      </c>
      <c r="B6" s="53">
        <f ca="1">IF(平均日流量&lt;='辅助-内插法总变化系数'!C3,'辅助-内插法总变化系数'!C4,IF(平均日流量&gt;='辅助-内插法总变化系数'!J3,'辅助-内插法总变化系数'!J4,TREND(OFFSET('辅助-内插法总变化系数'!C3,1,MATCH(平均日流量,'辅助-内插法总变化系数'!C3:J3,1)-1,1,2),OFFSET('辅助-内插法总变化系数'!C3,0,MATCH(平均日流量,'辅助-内插法总变化系数'!C3:J3,1)-1,1,2),平均日流量)))</f>
        <v>1.5611111111111111</v>
      </c>
      <c r="C6" s="53"/>
      <c r="D6" s="54"/>
      <c r="E6" s="55"/>
      <c r="F6" s="61"/>
      <c r="G6" s="218" t="s">
        <v>99</v>
      </c>
      <c r="H6" s="207"/>
      <c r="I6" s="207"/>
      <c r="J6" s="207"/>
      <c r="K6" s="225"/>
    </row>
    <row r="7" spans="1:11">
      <c r="A7" s="62" t="s">
        <v>100</v>
      </c>
      <c r="B7" s="52" t="str">
        <f ca="1">INDIRECT("流量"&amp;设计流量Q)</f>
        <v>BE-CGS-SS-6-1.4</v>
      </c>
      <c r="C7" s="63"/>
      <c r="D7" s="64"/>
      <c r="E7" s="55"/>
      <c r="F7" s="61"/>
      <c r="G7" s="65" t="s">
        <v>101</v>
      </c>
      <c r="H7" s="207"/>
      <c r="I7" s="207"/>
      <c r="J7" s="207"/>
      <c r="K7" s="225"/>
    </row>
    <row r="8" spans="1:11">
      <c r="A8" s="51" t="s">
        <v>102</v>
      </c>
      <c r="B8" s="66" t="str">
        <f t="array" aca="1" ref="B8" ca="1">IF(AND(渠道数量=C11,B14:B44=C14:C44,B52:B53=C52:C53,B56:B72,C56:C72,B75:B80=C75:C80),型号,IF(格栅类型="回转式格栅除污机","ZDY-CGS-HZ-"&amp;设计流量Q/10000&amp;"-"&amp;格栅宽度/1000,"ZDY-CGS-SS-"&amp;设计流量Q/10000&amp;"-"&amp;格栅宽度/1000))</f>
        <v>BE-CGS-SS-6-1.4</v>
      </c>
      <c r="C8" s="67" t="str">
        <f ca="1">B7</f>
        <v>BE-CGS-SS-6-1.4</v>
      </c>
      <c r="D8" s="54"/>
      <c r="E8" s="68"/>
      <c r="F8" s="61"/>
      <c r="G8" s="226"/>
      <c r="H8" s="207"/>
      <c r="I8" s="207"/>
      <c r="J8" s="207"/>
      <c r="K8" s="225"/>
    </row>
    <row r="9" spans="1:11">
      <c r="A9" s="73" t="s">
        <v>416</v>
      </c>
      <c r="B9" s="145">
        <v>-7</v>
      </c>
      <c r="C9" s="67"/>
      <c r="D9" s="75" t="s">
        <v>6</v>
      </c>
      <c r="E9" s="55"/>
      <c r="F9" s="61"/>
      <c r="G9" s="207"/>
      <c r="H9" s="207"/>
      <c r="I9" s="207"/>
      <c r="J9" s="207"/>
      <c r="K9" s="225"/>
    </row>
    <row r="10" spans="1:11">
      <c r="A10" s="51" t="s">
        <v>290</v>
      </c>
      <c r="B10" s="186" t="str">
        <f ca="1">INDEX('辅助-模块单元解耦'!$A$1:$Q$22,MATCH(数学建模!$A10,'辅助-模块单元解耦'!$A:$A,0),MATCH(型号,'辅助-模块单元解耦'!$2:$2,0))</f>
        <v>钢丝绳牵引式粗格栅机</v>
      </c>
      <c r="D10" s="54"/>
      <c r="E10" s="68"/>
      <c r="F10" s="61"/>
      <c r="G10" s="207"/>
      <c r="H10" s="207"/>
      <c r="I10" s="207"/>
      <c r="J10" s="207"/>
      <c r="K10" s="225"/>
    </row>
    <row r="11" spans="1:11">
      <c r="A11" s="51" t="s">
        <v>103</v>
      </c>
      <c r="B11" s="69">
        <v>2</v>
      </c>
      <c r="C11" s="69">
        <f ca="1">HLOOKUP(型号,'辅助-模块单元解耦'!$C$2:$Q$41,MATCH(数学建模!$A11,'辅助-模块单元解耦'!$A:$A,0)-1,FALSE)</f>
        <v>2</v>
      </c>
      <c r="D11" s="54" t="s">
        <v>104</v>
      </c>
      <c r="E11" s="68"/>
      <c r="F11" s="227"/>
      <c r="G11" s="75"/>
      <c r="H11" s="75"/>
      <c r="I11" s="75"/>
      <c r="J11" s="75"/>
      <c r="K11" s="68"/>
    </row>
    <row r="12" spans="1:11">
      <c r="A12" s="235" t="s">
        <v>435</v>
      </c>
      <c r="B12" s="236"/>
      <c r="C12" s="236"/>
      <c r="D12" s="236"/>
      <c r="E12" s="236"/>
      <c r="F12" s="236"/>
      <c r="G12" s="236"/>
      <c r="H12" s="236"/>
      <c r="I12" s="236"/>
      <c r="J12" s="236"/>
      <c r="K12" s="237"/>
    </row>
    <row r="13" spans="1:11" s="72" customFormat="1">
      <c r="A13" s="46" t="s">
        <v>89</v>
      </c>
      <c r="B13" s="47" t="s">
        <v>90</v>
      </c>
      <c r="C13" s="47"/>
      <c r="D13" s="47" t="s">
        <v>91</v>
      </c>
      <c r="E13" s="48" t="s">
        <v>92</v>
      </c>
      <c r="F13" s="47" t="s">
        <v>89</v>
      </c>
      <c r="G13" s="47" t="s">
        <v>90</v>
      </c>
      <c r="H13" s="47" t="s">
        <v>91</v>
      </c>
      <c r="I13" s="209" t="s">
        <v>92</v>
      </c>
      <c r="J13" s="70" t="s">
        <v>105</v>
      </c>
      <c r="K13" s="71" t="s">
        <v>106</v>
      </c>
    </row>
    <row r="14" spans="1:11" ht="16.5" customHeight="1">
      <c r="A14" s="73" t="s">
        <v>114</v>
      </c>
      <c r="B14" s="69">
        <f ca="1">HLOOKUP(型号,'辅助-模块单元解耦'!$C$2:$Q$41,MATCH(数学建模!$A14,'辅助-模块单元解耦'!$A:$A,0)-1,FALSE)</f>
        <v>1400</v>
      </c>
      <c r="C14" s="69">
        <f ca="1">HLOOKUP(型号,'辅助-模块单元解耦'!$C$2:$Q$41,MATCH(数学建模!$A14,'辅助-模块单元解耦'!$A:$A,0)-1,FALSE)</f>
        <v>1400</v>
      </c>
      <c r="D14" s="54" t="s">
        <v>4</v>
      </c>
      <c r="E14" s="55"/>
      <c r="F14" s="76" t="s">
        <v>108</v>
      </c>
      <c r="G14" s="58">
        <f ca="1">ROUND(设计流量Q*总变化系数Kz*SQRT(SIN(格栅安装角度*PI()/180))/渠道数量/栅前工作水深/栅条的间隙数n/栅条间隙b/86400*1000,2)</f>
        <v>0.7</v>
      </c>
      <c r="H14" s="77" t="s">
        <v>5</v>
      </c>
      <c r="I14" s="238" t="s">
        <v>109</v>
      </c>
      <c r="J14" s="221">
        <v>0.6</v>
      </c>
      <c r="K14" s="79">
        <v>1</v>
      </c>
    </row>
    <row r="15" spans="1:11">
      <c r="A15" s="73" t="s">
        <v>117</v>
      </c>
      <c r="B15" s="219">
        <f ca="1">HLOOKUP(型号,'辅助-模块单元解耦'!$C$2:$Q$41,MATCH(数学建模!$A15,'辅助-模块单元解耦'!$A:$A,0)-1,FALSE)</f>
        <v>0.1</v>
      </c>
      <c r="C15" s="219">
        <f ca="1">HLOOKUP(型号,'辅助-模块单元解耦'!$C$2:$Q$41,MATCH(数学建模!$A15,'辅助-模块单元解耦'!$A:$A,0)-1,FALSE)</f>
        <v>0.1</v>
      </c>
      <c r="D15" s="54" t="s">
        <v>6</v>
      </c>
      <c r="E15" s="55"/>
      <c r="F15" s="76" t="s">
        <v>110</v>
      </c>
      <c r="G15" s="58">
        <f ca="1">ROUND(设计流量Q*SQRT(SIN(格栅安装角度*PI()/180))/渠道数量/栅前工作水深/栅条的间隙数n/栅条间隙b/86400*1000,2)</f>
        <v>0.45</v>
      </c>
      <c r="H15" s="77" t="s">
        <v>5</v>
      </c>
      <c r="I15" s="239"/>
      <c r="J15" s="221">
        <v>0.6</v>
      </c>
      <c r="K15" s="79">
        <v>1</v>
      </c>
    </row>
    <row r="16" spans="1:11">
      <c r="A16" s="73" t="s">
        <v>118</v>
      </c>
      <c r="B16" s="220">
        <f ca="1">格栅宽度/1000+渠道超宽</f>
        <v>1.5</v>
      </c>
      <c r="C16" s="220">
        <f ca="1">格栅宽度/1000+渠道超宽</f>
        <v>1.5</v>
      </c>
      <c r="D16" s="54" t="s">
        <v>6</v>
      </c>
      <c r="E16" s="55"/>
      <c r="F16" s="80" t="s">
        <v>111</v>
      </c>
      <c r="G16" s="58">
        <f ca="1">ROUND(设计流量Q*总变化系数Kz*SQRT(SIN(格栅安装角度*PI()/180))/(渠道数量-1)/栅前工作水深/栅条的间隙数n/栅条间隙b/86400*1000,2)</f>
        <v>1.41</v>
      </c>
      <c r="H16" s="77" t="s">
        <v>5</v>
      </c>
      <c r="I16" s="239"/>
      <c r="J16" s="221">
        <v>0.6</v>
      </c>
      <c r="K16" s="79">
        <v>1</v>
      </c>
    </row>
    <row r="17" spans="1:11">
      <c r="A17" s="73" t="s">
        <v>119</v>
      </c>
      <c r="B17" s="219">
        <f ca="1">HLOOKUP(型号,'辅助-模块单元解耦'!$C$2:$Q$41,MATCH(数学建模!$A17,'辅助-模块单元解耦'!$A:$A,0)-1,FALSE)</f>
        <v>0.6</v>
      </c>
      <c r="C17" s="219">
        <f ca="1">HLOOKUP(型号,'辅助-模块单元解耦'!$C$2:$Q$41,MATCH(数学建模!$A17,'辅助-模块单元解耦'!$A:$A,0)-1,FALSE)</f>
        <v>0.6</v>
      </c>
      <c r="D17" s="54" t="s">
        <v>6</v>
      </c>
      <c r="E17" s="55"/>
      <c r="F17" s="76" t="s">
        <v>113</v>
      </c>
      <c r="G17" s="58">
        <f ca="1">ROUND(设计流量Q*SQRT(SIN(格栅安装角度*PI()/180))/(渠道数量-1)/栅前工作水深/栅条的间隙数n/栅条间隙b/86400*1000,2)</f>
        <v>0.9</v>
      </c>
      <c r="H17" s="54" t="s">
        <v>5</v>
      </c>
      <c r="I17" s="240"/>
      <c r="J17" s="221">
        <v>0.6</v>
      </c>
      <c r="K17" s="79">
        <v>1</v>
      </c>
    </row>
    <row r="18" spans="1:11">
      <c r="A18" s="73" t="s">
        <v>206</v>
      </c>
      <c r="B18" s="53">
        <f ca="1">单格渠道宽度B*渠道数量+渠道隔墙厚度d*(渠道数量-1)</f>
        <v>3.6</v>
      </c>
      <c r="C18" s="53">
        <f ca="1">单格渠道宽度B*渠道数量+渠道隔墙厚度d*(渠道数量-1)</f>
        <v>3.6</v>
      </c>
      <c r="D18" s="54" t="s">
        <v>6</v>
      </c>
      <c r="E18" s="55"/>
      <c r="F18" s="54"/>
      <c r="G18" s="54"/>
      <c r="H18" s="54"/>
      <c r="I18" s="68"/>
      <c r="J18" s="54"/>
      <c r="K18" s="81"/>
    </row>
    <row r="19" spans="1:11">
      <c r="A19" s="51" t="s">
        <v>422</v>
      </c>
      <c r="B19" s="219">
        <f ca="1">HLOOKUP(型号,'辅助-模块单元解耦'!$C$2:$Q$41,MATCH(数学建模!$A19,'辅助-模块单元解耦'!$A:$A,0)-1,FALSE)</f>
        <v>0.6</v>
      </c>
      <c r="C19" s="219">
        <f ca="1">HLOOKUP(型号,'辅助-模块单元解耦'!$C$2:$Q$41,MATCH(数学建模!$A19,'辅助-模块单元解耦'!$A:$A,0)-1,FALSE)</f>
        <v>0.6</v>
      </c>
      <c r="D19" s="54" t="s">
        <v>423</v>
      </c>
      <c r="E19" s="55"/>
      <c r="F19" s="54"/>
      <c r="G19" s="54"/>
      <c r="H19" s="54"/>
      <c r="I19" s="55"/>
      <c r="J19" s="207"/>
      <c r="K19" s="56"/>
    </row>
    <row r="20" spans="1:11">
      <c r="A20" s="73" t="s">
        <v>201</v>
      </c>
      <c r="B20" s="199">
        <f ca="1">HLOOKUP(型号,'辅助-模块单元解耦'!$C$2:$Q$41,MATCH(数学建模!$A20,'辅助-模块单元解耦'!$A:$A,0)-1,FALSE)</f>
        <v>15</v>
      </c>
      <c r="C20" s="199">
        <f ca="1">HLOOKUP(型号,'辅助-模块单元解耦'!$C$2:$Q$41,MATCH(数学建模!$A20,'辅助-模块单元解耦'!$A:$A,0)-1,FALSE)</f>
        <v>15</v>
      </c>
      <c r="D20" s="54" t="s">
        <v>4</v>
      </c>
      <c r="E20" s="55"/>
      <c r="F20" s="54"/>
      <c r="G20" s="54"/>
      <c r="H20" s="54"/>
      <c r="I20" s="55"/>
      <c r="J20" s="54"/>
      <c r="K20" s="81"/>
    </row>
    <row r="21" spans="1:11">
      <c r="A21" s="73" t="s">
        <v>203</v>
      </c>
      <c r="B21" s="199">
        <f ca="1">HLOOKUP(型号,'辅助-模块单元解耦'!$C$2:$Q$41,MATCH(数学建模!$A21,'辅助-模块单元解耦'!$A:$A,0)-1,FALSE)</f>
        <v>10</v>
      </c>
      <c r="C21" s="199">
        <f ca="1">HLOOKUP(型号,'辅助-模块单元解耦'!$C$2:$Q$41,MATCH(数学建模!$A21,'辅助-模块单元解耦'!$A:$A,0)-1,FALSE)</f>
        <v>10</v>
      </c>
      <c r="D21" s="54" t="s">
        <v>4</v>
      </c>
      <c r="E21" s="55"/>
      <c r="F21" s="54"/>
      <c r="G21" s="54"/>
      <c r="H21" s="54"/>
      <c r="I21" s="55"/>
      <c r="J21" s="54"/>
      <c r="K21" s="81"/>
    </row>
    <row r="22" spans="1:11">
      <c r="A22" s="73" t="s">
        <v>202</v>
      </c>
      <c r="B22" s="45">
        <f ca="1">ROUND((格栅宽度+栅条宽度S)/(栅条间隙b+栅条宽度S),0)</f>
        <v>56</v>
      </c>
      <c r="C22" s="45">
        <f ca="1">ROUND((格栅宽度+栅条宽度S)/(栅条间隙b+栅条宽度S),0)</f>
        <v>56</v>
      </c>
      <c r="D22" s="54" t="s">
        <v>2</v>
      </c>
      <c r="E22" s="55"/>
      <c r="F22" s="54"/>
      <c r="G22" s="54"/>
      <c r="H22" s="54"/>
      <c r="I22" s="55"/>
      <c r="J22" s="54"/>
      <c r="K22" s="81"/>
    </row>
    <row r="23" spans="1:11">
      <c r="A23" s="73" t="s">
        <v>83</v>
      </c>
      <c r="B23" s="69">
        <f ca="1">HLOOKUP(型号,'辅助-模块单元解耦'!$C$2:$Q$41,MATCH(数学建模!$A23,'辅助-模块单元解耦'!$A:$A,0)-1,FALSE)</f>
        <v>75</v>
      </c>
      <c r="C23" s="69">
        <f ca="1">HLOOKUP(型号,'辅助-模块单元解耦'!$C$2:$Q$41,MATCH(数学建模!$A23,'辅助-模块单元解耦'!$A:$A,0)-1,FALSE)</f>
        <v>75</v>
      </c>
      <c r="D23" s="54" t="s">
        <v>7</v>
      </c>
      <c r="E23" s="55" t="s">
        <v>406</v>
      </c>
      <c r="F23" s="54"/>
      <c r="G23" s="54"/>
      <c r="H23" s="54"/>
      <c r="I23" s="55"/>
      <c r="J23" s="54"/>
      <c r="K23" s="81"/>
    </row>
    <row r="24" spans="1:11">
      <c r="A24" s="73" t="s">
        <v>107</v>
      </c>
      <c r="B24" s="74">
        <f ca="1">HLOOKUP(型号,'辅助-模块单元解耦'!$C$2:$Q$41,MATCH(数学建模!$A24,'辅助-模块单元解耦'!$A:$A,0)-1,FALSE)</f>
        <v>0.9</v>
      </c>
      <c r="C24" s="74">
        <f ca="1">HLOOKUP(型号,'辅助-模块单元解耦'!$C$2:$Q$41,MATCH(数学建模!$A24,'辅助-模块单元解耦'!$A:$A,0)-1,FALSE)</f>
        <v>0.9</v>
      </c>
      <c r="D24" s="54" t="s">
        <v>6</v>
      </c>
      <c r="E24" s="55"/>
      <c r="F24" s="54"/>
      <c r="G24" s="54"/>
      <c r="H24" s="54"/>
      <c r="I24" s="55"/>
      <c r="J24" s="54"/>
      <c r="K24" s="81"/>
    </row>
    <row r="25" spans="1:11">
      <c r="A25" s="73" t="s">
        <v>204</v>
      </c>
      <c r="B25" s="74">
        <f ca="1">HLOOKUP(型号,'辅助-模块单元解耦'!$C$2:$Q$41,MATCH(数学建模!$A25,'辅助-模块单元解耦'!$A:$A,0)-1,FALSE)</f>
        <v>0.3</v>
      </c>
      <c r="C25" s="74">
        <f ca="1">HLOOKUP(型号,'辅助-模块单元解耦'!$C$2:$Q$41,MATCH(数学建模!$A25,'辅助-模块单元解耦'!$A:$A,0)-1,FALSE)</f>
        <v>0.3</v>
      </c>
      <c r="D25" s="54" t="s">
        <v>6</v>
      </c>
      <c r="E25" s="55"/>
      <c r="F25" s="75"/>
      <c r="G25" s="75"/>
      <c r="H25" s="75"/>
      <c r="I25" s="68"/>
      <c r="J25" s="75"/>
      <c r="K25" s="82"/>
    </row>
    <row r="26" spans="1:11">
      <c r="A26" s="51" t="s">
        <v>205</v>
      </c>
      <c r="B26" s="74">
        <f ca="1">HLOOKUP(型号,'辅助-模块单元解耦'!$C$2:$Q$41,MATCH(数学建模!$A26,'辅助-模块单元解耦'!$A:$A,0)-1,FALSE)</f>
        <v>0.3</v>
      </c>
      <c r="C26" s="74">
        <f ca="1">HLOOKUP(型号,'辅助-模块单元解耦'!$C$2:$Q$41,MATCH(数学建模!$A26,'辅助-模块单元解耦'!$A:$A,0)-1,FALSE)</f>
        <v>0.3</v>
      </c>
      <c r="D26" s="54" t="s">
        <v>6</v>
      </c>
      <c r="E26" s="55"/>
      <c r="F26" s="76"/>
      <c r="G26" s="84"/>
      <c r="H26" s="77"/>
      <c r="I26" s="77"/>
      <c r="J26" s="78"/>
      <c r="K26" s="79"/>
    </row>
    <row r="27" spans="1:11">
      <c r="A27" s="73" t="s">
        <v>343</v>
      </c>
      <c r="B27" s="53">
        <f ca="1">格栅渠净宽度</f>
        <v>3.6</v>
      </c>
      <c r="C27" s="53">
        <f ca="1">格栅渠净宽度</f>
        <v>3.6</v>
      </c>
      <c r="D27" s="54" t="s">
        <v>223</v>
      </c>
      <c r="E27" s="55"/>
      <c r="F27" s="76"/>
      <c r="G27" s="84"/>
      <c r="H27" s="77"/>
      <c r="I27" s="77"/>
      <c r="J27" s="78"/>
      <c r="K27" s="79"/>
    </row>
    <row r="28" spans="1:11">
      <c r="A28" s="73" t="s">
        <v>425</v>
      </c>
      <c r="B28" s="53">
        <f>ABS(进水管管底标高)</f>
        <v>7</v>
      </c>
      <c r="C28" s="53">
        <f>ABS(进水管管底标高)</f>
        <v>7</v>
      </c>
      <c r="D28" s="54" t="s">
        <v>426</v>
      </c>
      <c r="E28" s="55"/>
      <c r="F28" s="76"/>
      <c r="G28" s="84"/>
      <c r="H28" s="77"/>
      <c r="I28" s="77"/>
      <c r="J28" s="78"/>
      <c r="K28" s="79"/>
    </row>
    <row r="29" spans="1:11">
      <c r="A29" s="73" t="s">
        <v>376</v>
      </c>
      <c r="B29" s="53">
        <f ca="1">进水管管底埋深M+进水井超过地面高度h1+管底预留预埋件安装高度h2</f>
        <v>7.6</v>
      </c>
      <c r="C29" s="53">
        <f ca="1">进水管管底埋深M+进水井超过地面高度h1+管底预留预埋件安装高度h2</f>
        <v>7.6</v>
      </c>
      <c r="D29" s="54" t="s">
        <v>6</v>
      </c>
      <c r="E29" s="55"/>
      <c r="F29" s="75"/>
      <c r="G29" s="75"/>
      <c r="H29" s="75"/>
      <c r="I29" s="77"/>
      <c r="J29" s="78"/>
      <c r="K29" s="82"/>
    </row>
    <row r="30" spans="1:11">
      <c r="A30" s="73" t="s">
        <v>280</v>
      </c>
      <c r="B30" s="74">
        <f ca="1">HLOOKUP(型号,'辅助-模块单元解耦'!$C$2:$Q$41,MATCH(数学建模!$A30,'辅助-模块单元解耦'!$A:$A,0)-1,FALSE)</f>
        <v>0.2</v>
      </c>
      <c r="C30" s="74">
        <f ca="1">HLOOKUP(型号,'辅助-模块单元解耦'!$C$2:$Q$41,MATCH(数学建模!$A30,'辅助-模块单元解耦'!$A:$A,0)-1,FALSE)</f>
        <v>0.2</v>
      </c>
      <c r="D30" s="54" t="s">
        <v>6</v>
      </c>
      <c r="E30" s="55"/>
      <c r="F30" s="75"/>
      <c r="G30" s="75"/>
      <c r="H30" s="75"/>
      <c r="I30" s="77"/>
      <c r="J30" s="78"/>
      <c r="K30" s="82"/>
    </row>
    <row r="31" spans="1:11">
      <c r="A31" s="73" t="s">
        <v>112</v>
      </c>
      <c r="B31" s="53">
        <f ca="1">栅前工作水深-过栅水头损失</f>
        <v>0.7</v>
      </c>
      <c r="C31" s="53">
        <f ca="1">栅前工作水深-过栅水头损失</f>
        <v>0.7</v>
      </c>
      <c r="D31" s="54" t="s">
        <v>6</v>
      </c>
      <c r="E31" s="55"/>
      <c r="F31" s="75"/>
      <c r="G31" s="75"/>
      <c r="H31" s="75"/>
      <c r="I31" s="77"/>
      <c r="J31" s="78"/>
      <c r="K31" s="82"/>
    </row>
    <row r="32" spans="1:11">
      <c r="A32" s="73" t="s">
        <v>81</v>
      </c>
      <c r="B32" s="74">
        <f ca="1">HLOOKUP(型号,'辅助-模块单元解耦'!$C$2:$Q$41,MATCH(数学建模!$A32,'辅助-模块单元解耦'!$A:$A,0)-1,FALSE)</f>
        <v>0.3</v>
      </c>
      <c r="C32" s="74">
        <f ca="1">HLOOKUP(型号,'辅助-模块单元解耦'!$C$2:$Q$41,MATCH(数学建模!$A32,'辅助-模块单元解耦'!$A:$A,0)-1,FALSE)</f>
        <v>0.3</v>
      </c>
      <c r="D32" s="54" t="s">
        <v>6</v>
      </c>
      <c r="E32" s="55"/>
      <c r="F32" s="76"/>
      <c r="G32" s="83"/>
      <c r="H32" s="77"/>
      <c r="I32" s="77"/>
      <c r="J32" s="78"/>
      <c r="K32" s="79"/>
    </row>
    <row r="33" spans="1:11">
      <c r="A33" s="73" t="s">
        <v>209</v>
      </c>
      <c r="B33" s="59">
        <f ca="1">进水井深度_渠深_H-过水孔G1底部距池底高度</f>
        <v>7.3</v>
      </c>
      <c r="C33" s="59">
        <f ca="1">进水井深度_渠深_H-过水孔G1底部距池底高度</f>
        <v>7.3</v>
      </c>
      <c r="D33" s="54" t="s">
        <v>6</v>
      </c>
      <c r="E33" s="55"/>
      <c r="F33" s="54"/>
      <c r="G33" s="54"/>
      <c r="H33" s="54"/>
      <c r="I33" s="77"/>
      <c r="J33" s="78"/>
      <c r="K33" s="81"/>
    </row>
    <row r="34" spans="1:11">
      <c r="A34" s="73" t="s">
        <v>294</v>
      </c>
      <c r="B34" s="74">
        <f ca="1">HLOOKUP(型号,'辅助-模块单元解耦'!$C$2:$Q$41,MATCH(数学建模!$A34,'辅助-模块单元解耦'!$A:$A,0)-1,FALSE)</f>
        <v>0</v>
      </c>
      <c r="C34" s="74">
        <f ca="1">HLOOKUP(型号,'辅助-模块单元解耦'!$C$2:$Q$41,MATCH(数学建模!$A34,'辅助-模块单元解耦'!$A:$A,0)-1,FALSE)</f>
        <v>0</v>
      </c>
      <c r="D34" s="54" t="s">
        <v>6</v>
      </c>
      <c r="E34" s="55"/>
      <c r="F34" s="75"/>
      <c r="G34" s="75"/>
      <c r="H34" s="75"/>
      <c r="I34" s="77"/>
      <c r="J34" s="78"/>
      <c r="K34" s="82"/>
    </row>
    <row r="35" spans="1:11">
      <c r="A35" s="73" t="s">
        <v>214</v>
      </c>
      <c r="B35" s="59">
        <f ca="1">进水井深度_渠深_H-过水孔G2底部距池底高度</f>
        <v>7.6</v>
      </c>
      <c r="C35" s="59">
        <f ca="1">进水井深度_渠深_H-过水孔G2底部距池底高度</f>
        <v>7.6</v>
      </c>
      <c r="D35" s="54" t="s">
        <v>6</v>
      </c>
      <c r="E35" s="55"/>
      <c r="F35" s="76"/>
      <c r="G35" s="84"/>
      <c r="H35" s="77"/>
      <c r="I35" s="77"/>
      <c r="J35" s="78"/>
      <c r="K35" s="79"/>
    </row>
    <row r="36" spans="1:11">
      <c r="A36" s="73" t="s">
        <v>316</v>
      </c>
      <c r="B36" s="74">
        <f ca="1">HLOOKUP(型号,'辅助-模块单元解耦'!$C$2:$Q$41,MATCH(数学建模!$A36,'辅助-模块单元解耦'!$A:$A,0)-1,FALSE)</f>
        <v>2</v>
      </c>
      <c r="C36" s="74">
        <f ca="1">HLOOKUP(型号,'辅助-模块单元解耦'!$C$2:$Q$41,MATCH(数学建模!$A36,'辅助-模块单元解耦'!$A:$A,0)-1,FALSE)</f>
        <v>2</v>
      </c>
      <c r="D36" s="54" t="s">
        <v>6</v>
      </c>
      <c r="E36" s="55"/>
      <c r="F36" s="54"/>
      <c r="G36" s="54"/>
      <c r="H36" s="54"/>
      <c r="I36" s="77"/>
      <c r="J36" s="78"/>
      <c r="K36" s="81"/>
    </row>
    <row r="37" spans="1:11">
      <c r="A37" s="73" t="s">
        <v>317</v>
      </c>
      <c r="B37" s="74">
        <f ca="1">HLOOKUP(型号,'辅助-模块单元解耦'!$C$2:$Q$41,MATCH(数学建模!$A37,'辅助-模块单元解耦'!$A:$A,0)-1,FALSE)</f>
        <v>0.5</v>
      </c>
      <c r="C37" s="74">
        <f ca="1">HLOOKUP(型号,'辅助-模块单元解耦'!$C$2:$Q$41,MATCH(数学建模!$A37,'辅助-模块单元解耦'!$A:$A,0)-1,FALSE)</f>
        <v>0.5</v>
      </c>
      <c r="D37" s="54" t="s">
        <v>6</v>
      </c>
      <c r="E37" s="55"/>
      <c r="F37" s="54"/>
      <c r="G37" s="54"/>
      <c r="H37" s="54"/>
      <c r="I37" s="77"/>
      <c r="J37" s="78"/>
      <c r="K37" s="81"/>
    </row>
    <row r="38" spans="1:11">
      <c r="A38" s="73" t="s">
        <v>319</v>
      </c>
      <c r="B38" s="74">
        <f ca="1">HLOOKUP(型号,'辅助-模块单元解耦'!$C$2:$Q$41,MATCH(数学建模!$A38,'辅助-模块单元解耦'!$A:$A,0)-1,FALSE)</f>
        <v>1.5</v>
      </c>
      <c r="C38" s="74">
        <f ca="1">HLOOKUP(型号,'辅助-模块单元解耦'!$C$2:$Q$41,MATCH(数学建模!$A38,'辅助-模块单元解耦'!$A:$A,0)-1,FALSE)</f>
        <v>1.5</v>
      </c>
      <c r="D38" s="54" t="s">
        <v>6</v>
      </c>
      <c r="E38" s="55"/>
      <c r="F38" s="54"/>
      <c r="G38" s="54"/>
      <c r="H38" s="54"/>
      <c r="I38" s="77"/>
      <c r="J38" s="78"/>
      <c r="K38" s="81"/>
    </row>
    <row r="39" spans="1:11">
      <c r="A39" s="73" t="s">
        <v>320</v>
      </c>
      <c r="B39" s="53">
        <f ca="1">ROUND(进水井深度_渠深_H/TAN(格栅安装角度*PI()/180),2)</f>
        <v>2.04</v>
      </c>
      <c r="C39" s="53">
        <f ca="1">ROUND(进水井深度_渠深_H/TAN(格栅安装角度*PI()/180),2)</f>
        <v>2.04</v>
      </c>
      <c r="D39" s="54" t="s">
        <v>6</v>
      </c>
      <c r="E39" s="55"/>
      <c r="F39" s="54"/>
      <c r="G39" s="54"/>
      <c r="H39" s="54"/>
      <c r="I39" s="55"/>
      <c r="J39" s="78"/>
      <c r="K39" s="81"/>
    </row>
    <row r="40" spans="1:11">
      <c r="A40" s="73" t="s">
        <v>321</v>
      </c>
      <c r="B40" s="74">
        <f ca="1">HLOOKUP(型号,'辅助-模块单元解耦'!$C$2:$Q$41,MATCH(数学建模!$A40,'辅助-模块单元解耦'!$A:$A,0)-1,FALSE)</f>
        <v>1.6</v>
      </c>
      <c r="C40" s="74">
        <f ca="1">HLOOKUP(型号,'辅助-模块单元解耦'!$C$2:$Q$41,MATCH(数学建模!$A40,'辅助-模块单元解耦'!$A:$A,0)-1,FALSE)</f>
        <v>1.6</v>
      </c>
      <c r="D40" s="54" t="s">
        <v>6</v>
      </c>
      <c r="E40" s="55"/>
      <c r="F40" s="54"/>
      <c r="G40" s="54"/>
      <c r="H40" s="54"/>
      <c r="I40" s="55"/>
      <c r="J40" s="54"/>
      <c r="K40" s="81"/>
    </row>
    <row r="41" spans="1:11">
      <c r="A41" s="73" t="s">
        <v>429</v>
      </c>
      <c r="B41" s="74">
        <f ca="1">HLOOKUP(型号,'辅助-模块单元解耦'!$C$2:$Q$41,MATCH(数学建模!$A41,'辅助-模块单元解耦'!$A:$A,0)-1,FALSE)</f>
        <v>3</v>
      </c>
      <c r="C41" s="74">
        <f ca="1">HLOOKUP(型号,'辅助-模块单元解耦'!$C$2:$Q$41,MATCH(数学建模!$A41,'辅助-模块单元解耦'!$A:$A,0)-1,FALSE)</f>
        <v>3</v>
      </c>
      <c r="D41" s="54" t="s">
        <v>223</v>
      </c>
      <c r="E41" s="55"/>
      <c r="F41" s="54"/>
      <c r="G41" s="54"/>
      <c r="H41" s="54"/>
      <c r="I41" s="55"/>
      <c r="J41" s="54"/>
      <c r="K41" s="81"/>
    </row>
    <row r="42" spans="1:11">
      <c r="A42" s="73" t="s">
        <v>324</v>
      </c>
      <c r="B42" s="74">
        <f ca="1">HLOOKUP(型号,'辅助-模块单元解耦'!$C$2:$Q$41,MATCH(数学建模!$A42,'辅助-模块单元解耦'!$A:$A,0)-1,FALSE)</f>
        <v>0.5</v>
      </c>
      <c r="C42" s="74">
        <f ca="1">HLOOKUP(型号,'辅助-模块单元解耦'!$C$2:$Q$41,MATCH(数学建模!$A42,'辅助-模块单元解耦'!$A:$A,0)-1,FALSE)</f>
        <v>0.5</v>
      </c>
      <c r="D42" s="54" t="s">
        <v>223</v>
      </c>
      <c r="E42" s="55"/>
      <c r="F42" s="54"/>
      <c r="G42" s="54"/>
      <c r="H42" s="54"/>
      <c r="I42" s="55"/>
      <c r="J42" s="54"/>
      <c r="K42" s="81"/>
    </row>
    <row r="43" spans="1:11">
      <c r="A43" s="73" t="s">
        <v>322</v>
      </c>
      <c r="B43" s="74">
        <f ca="1">HLOOKUP(型号,'辅助-模块单元解耦'!$C$2:$Q$41,MATCH(数学建模!$A43,'辅助-模块单元解耦'!$A:$A,0)-1,FALSE)</f>
        <v>2</v>
      </c>
      <c r="C43" s="74">
        <f ca="1">HLOOKUP(型号,'辅助-模块单元解耦'!$C$2:$Q$41,MATCH(数学建模!$A43,'辅助-模块单元解耦'!$A:$A,0)-1,FALSE)</f>
        <v>2</v>
      </c>
      <c r="D43" s="54" t="s">
        <v>223</v>
      </c>
      <c r="E43" s="55"/>
      <c r="F43" s="54"/>
      <c r="G43" s="54"/>
      <c r="H43" s="54"/>
      <c r="I43" s="55"/>
      <c r="J43" s="54"/>
      <c r="K43" s="81"/>
    </row>
    <row r="44" spans="1:11">
      <c r="A44" s="73" t="s">
        <v>431</v>
      </c>
      <c r="B44" s="53">
        <f ca="1">进水井长度L1+进水井与格栅渠隔墙厚度+格栅渠预留检修空间长度L2+格栅水平投影长度L3+格栅顶部安装空间预留长度L4+格栅后预留空间预设长度L5’+过水渠与格栅渠隔墙厚度+过水渠长L6</f>
        <v>13.14</v>
      </c>
      <c r="C44" s="53">
        <f ca="1">进水井长度L1+进水井与格栅渠隔墙厚度+格栅渠预留检修空间长度L2+格栅水平投影长度L3+格栅顶部安装空间预留长度L4+格栅后预留空间预设长度L5’+过水渠与格栅渠隔墙厚度+过水渠长L6</f>
        <v>13.14</v>
      </c>
      <c r="D44" s="54" t="s">
        <v>223</v>
      </c>
      <c r="E44" s="55"/>
      <c r="F44" s="54"/>
      <c r="G44" s="54"/>
      <c r="H44" s="54"/>
      <c r="I44" s="55"/>
      <c r="J44" s="54"/>
      <c r="K44" s="81"/>
    </row>
    <row r="45" spans="1:11">
      <c r="A45" s="73" t="s">
        <v>427</v>
      </c>
      <c r="B45" s="53">
        <f>HLOOKUP(设计流量Q,'[1]辅助-模块单元解耦'!$C$1:$BJ$47,MATCH("集水池长L",'[1]辅助-模块单元解耦'!$A:$A,0),FALSE)</f>
        <v>15.3</v>
      </c>
      <c r="C45" s="53">
        <f>HLOOKUP(设计流量Q,'[1]辅助-模块单元解耦'!$C$1:$BJ$47,MATCH("集水池长L",'[1]辅助-模块单元解耦'!$A:$A,0),FALSE)</f>
        <v>15.3</v>
      </c>
      <c r="D45" s="54" t="s">
        <v>428</v>
      </c>
      <c r="E45" s="55"/>
      <c r="F45" s="54"/>
      <c r="G45" s="54"/>
      <c r="H45" s="54"/>
      <c r="I45" s="55"/>
      <c r="J45" s="54"/>
      <c r="K45" s="81"/>
    </row>
    <row r="46" spans="1:11">
      <c r="A46" s="73" t="s">
        <v>433</v>
      </c>
      <c r="B46" s="53">
        <f ca="1">IF(进水提升泵房集水池长-预设总长&lt;=3,格栅后预留空间预设长度L5’+进水提升泵房集水池长-预设总长,格栅后预留空间预设长度L5’)</f>
        <v>5.16</v>
      </c>
      <c r="C46" s="53">
        <f ca="1">IF(进水提升泵房集水池长-预设总长&lt;=3,格栅后预留空间预设长度L5’+进水提升泵房集水池长-预设总长,格栅后预留空间预设长度L5’)</f>
        <v>5.16</v>
      </c>
      <c r="D46" s="54" t="s">
        <v>428</v>
      </c>
      <c r="E46" s="55"/>
      <c r="F46" s="54"/>
      <c r="G46" s="54"/>
      <c r="H46" s="54"/>
      <c r="I46" s="55"/>
      <c r="J46" s="54"/>
      <c r="K46" s="81"/>
    </row>
    <row r="47" spans="1:11">
      <c r="A47" s="73" t="s">
        <v>432</v>
      </c>
      <c r="B47" s="53">
        <f ca="1">进水井长度L1+进水井与格栅渠隔墙厚度+格栅渠预留检修空间长度L2+格栅水平投影长度L3+格栅顶部安装空间预留长度L4+格栅后预留空间实际长度L5+过水渠与格栅渠隔墙厚度+过水渠长L6</f>
        <v>15.3</v>
      </c>
      <c r="C47" s="53">
        <f ca="1">进水井长度L1+进水井与格栅渠隔墙厚度+格栅渠预留检修空间长度L2+格栅水平投影长度L3+格栅顶部安装空间预留长度L4+格栅后预留空间实际长度L5+过水渠与格栅渠隔墙厚度+过水渠长L6</f>
        <v>15.3</v>
      </c>
      <c r="D47" s="54" t="s">
        <v>428</v>
      </c>
      <c r="E47" s="55"/>
      <c r="F47" s="54"/>
      <c r="G47" s="54"/>
      <c r="H47" s="54"/>
      <c r="I47" s="55"/>
      <c r="J47" s="54"/>
      <c r="K47" s="81"/>
    </row>
    <row r="48" spans="1:11">
      <c r="A48" s="51" t="s">
        <v>419</v>
      </c>
      <c r="B48" s="53">
        <f ca="1">进水井宽度/2</f>
        <v>1.8</v>
      </c>
      <c r="C48" s="53">
        <f ca="1">进水井宽度/2</f>
        <v>1.8</v>
      </c>
      <c r="D48" s="54" t="s">
        <v>420</v>
      </c>
      <c r="E48" s="55"/>
      <c r="F48" s="54"/>
      <c r="G48" s="54"/>
      <c r="H48" s="54"/>
      <c r="I48" s="55"/>
      <c r="J48" s="54"/>
      <c r="K48" s="81"/>
    </row>
    <row r="49" spans="1:11">
      <c r="A49" s="51" t="s">
        <v>421</v>
      </c>
      <c r="B49" s="53">
        <f ca="1">进水井长度L1/2</f>
        <v>1</v>
      </c>
      <c r="C49" s="53">
        <f ca="1">进水井长度L1/2</f>
        <v>1</v>
      </c>
      <c r="D49" s="54" t="s">
        <v>420</v>
      </c>
      <c r="E49" s="55"/>
      <c r="F49" s="54"/>
      <c r="G49" s="54"/>
      <c r="H49" s="54"/>
      <c r="I49" s="55"/>
      <c r="J49" s="54"/>
      <c r="K49" s="81"/>
    </row>
    <row r="50" spans="1:11">
      <c r="A50" s="235" t="s">
        <v>436</v>
      </c>
      <c r="B50" s="236"/>
      <c r="C50" s="236"/>
      <c r="D50" s="236"/>
      <c r="E50" s="236"/>
      <c r="F50" s="236"/>
      <c r="G50" s="236"/>
      <c r="H50" s="236"/>
      <c r="I50" s="236"/>
      <c r="J50" s="236"/>
      <c r="K50" s="237"/>
    </row>
    <row r="51" spans="1:11">
      <c r="A51" s="46" t="s">
        <v>89</v>
      </c>
      <c r="B51" s="47" t="s">
        <v>90</v>
      </c>
      <c r="C51" s="47"/>
      <c r="D51" s="47" t="s">
        <v>91</v>
      </c>
      <c r="E51" s="48" t="s">
        <v>92</v>
      </c>
      <c r="F51" s="47" t="s">
        <v>89</v>
      </c>
      <c r="G51" s="47" t="s">
        <v>90</v>
      </c>
      <c r="H51" s="47" t="s">
        <v>91</v>
      </c>
      <c r="I51" s="47" t="s">
        <v>92</v>
      </c>
      <c r="J51" s="70" t="s">
        <v>105</v>
      </c>
      <c r="K51" s="71" t="s">
        <v>106</v>
      </c>
    </row>
    <row r="52" spans="1:11" ht="36">
      <c r="A52" s="51" t="s">
        <v>330</v>
      </c>
      <c r="B52" s="74">
        <v>7.0000000000000007E-2</v>
      </c>
      <c r="C52" s="74">
        <v>7.0000000000000007E-2</v>
      </c>
      <c r="D52" s="54" t="s">
        <v>331</v>
      </c>
      <c r="E52" s="55" t="s">
        <v>329</v>
      </c>
      <c r="F52" s="54"/>
      <c r="G52" s="54"/>
      <c r="H52" s="54"/>
      <c r="I52" s="55"/>
      <c r="J52" s="54"/>
      <c r="K52" s="81"/>
    </row>
    <row r="53" spans="1:11">
      <c r="A53" s="51" t="s">
        <v>332</v>
      </c>
      <c r="B53" s="54">
        <f>设计流量Q*设计栅渣量/1000</f>
        <v>4.2</v>
      </c>
      <c r="C53" s="54">
        <f>设计流量Q*设计栅渣量/1000</f>
        <v>4.2</v>
      </c>
      <c r="D53" s="54" t="s">
        <v>3</v>
      </c>
      <c r="E53" s="55"/>
      <c r="F53" s="54"/>
      <c r="G53" s="54"/>
      <c r="H53" s="54"/>
      <c r="I53" s="55"/>
      <c r="J53" s="54"/>
      <c r="K53" s="81"/>
    </row>
    <row r="54" spans="1:11">
      <c r="A54" s="235" t="s">
        <v>437</v>
      </c>
      <c r="B54" s="236"/>
      <c r="C54" s="236"/>
      <c r="D54" s="236"/>
      <c r="E54" s="236"/>
      <c r="F54" s="236"/>
      <c r="G54" s="236"/>
      <c r="H54" s="236"/>
      <c r="I54" s="236"/>
      <c r="J54" s="236"/>
      <c r="K54" s="237"/>
    </row>
    <row r="55" spans="1:11">
      <c r="A55" s="46" t="s">
        <v>89</v>
      </c>
      <c r="B55" s="47" t="s">
        <v>90</v>
      </c>
      <c r="C55" s="47"/>
      <c r="D55" s="47" t="s">
        <v>91</v>
      </c>
      <c r="E55" s="48" t="s">
        <v>92</v>
      </c>
      <c r="F55" s="47" t="s">
        <v>89</v>
      </c>
      <c r="G55" s="47" t="s">
        <v>90</v>
      </c>
      <c r="H55" s="47" t="s">
        <v>91</v>
      </c>
      <c r="I55" s="47" t="s">
        <v>92</v>
      </c>
      <c r="J55" s="70" t="s">
        <v>105</v>
      </c>
      <c r="K55" s="71" t="s">
        <v>106</v>
      </c>
    </row>
    <row r="56" spans="1:11">
      <c r="A56" s="73" t="s">
        <v>211</v>
      </c>
      <c r="B56" s="69">
        <f ca="1">HLOOKUP(型号,'辅助-模块单元解耦'!$C$2:$Q$41,MATCH(数学建模!$A56,'辅助-模块单元解耦'!$A:$A,0)-1,FALSE)</f>
        <v>1000</v>
      </c>
      <c r="C56" s="69">
        <f ca="1">HLOOKUP(型号,'辅助-模块单元解耦'!$C$2:$Q$41,MATCH(数学建模!$A56,'辅助-模块单元解耦'!$A:$A,0)-1,FALSE)</f>
        <v>1000</v>
      </c>
      <c r="D56" s="54" t="s">
        <v>4</v>
      </c>
      <c r="E56" s="55"/>
      <c r="F56" s="76" t="s">
        <v>281</v>
      </c>
      <c r="G56" s="58">
        <f ca="1">ROUND(设计流量Q*总变化系数Kz/渠道数量/格栅前过水孔G1宽/格栅前过水孔G1高*1000000/86400,2)</f>
        <v>0.54</v>
      </c>
      <c r="H56" s="77" t="s">
        <v>5</v>
      </c>
      <c r="I56" s="228" t="s">
        <v>407</v>
      </c>
      <c r="J56" s="78">
        <v>0.4</v>
      </c>
      <c r="K56" s="79">
        <v>0.9</v>
      </c>
    </row>
    <row r="57" spans="1:11">
      <c r="A57" s="73" t="s">
        <v>285</v>
      </c>
      <c r="B57" s="69">
        <f ca="1">HLOOKUP(型号,'辅助-模块单元解耦'!$C$2:$Q$41,MATCH(数学建模!$A57,'辅助-模块单元解耦'!$A:$A,0)-1,FALSE)</f>
        <v>1000</v>
      </c>
      <c r="C57" s="69">
        <f ca="1">HLOOKUP(型号,'辅助-模块单元解耦'!$C$2:$Q$41,MATCH(数学建模!$A57,'辅助-模块单元解耦'!$A:$A,0)-1,FALSE)</f>
        <v>1000</v>
      </c>
      <c r="D57" s="54" t="s">
        <v>4</v>
      </c>
      <c r="E57" s="55"/>
      <c r="F57" s="76" t="s">
        <v>282</v>
      </c>
      <c r="G57" s="58">
        <f ca="1">ROUND(设计流量Q/渠道数量/格栅前过水孔G1宽/格栅前过水孔G1高*1000000/86400,2)</f>
        <v>0.35</v>
      </c>
      <c r="H57" s="77" t="s">
        <v>5</v>
      </c>
      <c r="I57" s="229"/>
      <c r="J57" s="78">
        <v>0.4</v>
      </c>
      <c r="K57" s="79">
        <v>0.9</v>
      </c>
    </row>
    <row r="58" spans="1:11">
      <c r="A58" s="51" t="s">
        <v>120</v>
      </c>
      <c r="B58" s="69">
        <f ca="1">HLOOKUP(型号,'辅助-模块单元解耦'!$C$2:$Q$41,MATCH(数学建模!$A58,'辅助-模块单元解耦'!$A:$A,0)-1,FALSE)</f>
        <v>200</v>
      </c>
      <c r="C58" s="69">
        <f ca="1">HLOOKUP(型号,'辅助-模块单元解耦'!$C$2:$Q$41,MATCH(数学建模!$A58,'辅助-模块单元解耦'!$A:$A,0)-1,FALSE)</f>
        <v>200</v>
      </c>
      <c r="D58" s="54" t="s">
        <v>4</v>
      </c>
      <c r="E58" s="55"/>
      <c r="F58" s="54"/>
      <c r="G58" s="54"/>
      <c r="H58" s="54"/>
      <c r="I58" s="55"/>
      <c r="J58" s="54"/>
      <c r="K58" s="81"/>
    </row>
    <row r="59" spans="1:11">
      <c r="A59" s="51" t="s">
        <v>283</v>
      </c>
      <c r="B59" s="206">
        <f ca="1">(格栅前过水孔G1高+栅前闸门门体超高)/1000</f>
        <v>1.2</v>
      </c>
      <c r="C59" s="206">
        <f ca="1">(格栅前过水孔G1高+栅前闸门门体超高)/1000</f>
        <v>1.2</v>
      </c>
      <c r="D59" s="54" t="s">
        <v>6</v>
      </c>
      <c r="E59" s="55"/>
      <c r="F59" s="54"/>
      <c r="G59" s="54"/>
      <c r="H59" s="54"/>
      <c r="I59" s="55"/>
      <c r="J59" s="54"/>
      <c r="K59" s="81"/>
    </row>
    <row r="60" spans="1:11" ht="17.25" thickBot="1">
      <c r="A60" s="87" t="s">
        <v>328</v>
      </c>
      <c r="B60" s="88">
        <f ca="1">HLOOKUP(型号,'辅助-模块单元解耦'!$C$2:$Q$41,MATCH(数学建模!$A60,'辅助-模块单元解耦'!$A:$A,0)-1,FALSE)</f>
        <v>0.75</v>
      </c>
      <c r="C60" s="88">
        <f ca="1">HLOOKUP(型号,'辅助-模块单元解耦'!$C$2:$Q$41,MATCH(数学建模!$A60,'辅助-模块单元解耦'!$A:$A,0)-1,FALSE)</f>
        <v>0.75</v>
      </c>
      <c r="D60" s="89" t="s">
        <v>121</v>
      </c>
      <c r="E60" s="90"/>
      <c r="F60" s="89"/>
      <c r="G60" s="89"/>
      <c r="H60" s="89"/>
      <c r="I60" s="90"/>
      <c r="J60" s="89"/>
      <c r="K60" s="91"/>
    </row>
    <row r="61" spans="1:11" ht="17.25" thickTop="1">
      <c r="A61" s="73" t="s">
        <v>213</v>
      </c>
      <c r="B61" s="69">
        <f ca="1">HLOOKUP(型号,'辅助-模块单元解耦'!$C$2:$Q$41,MATCH(数学建模!$A61,'辅助-模块单元解耦'!$A:$A,0)-1,FALSE)</f>
        <v>1000</v>
      </c>
      <c r="C61" s="69">
        <f ca="1">HLOOKUP(型号,'辅助-模块单元解耦'!$C$2:$Q$41,MATCH(数学建模!$A61,'辅助-模块单元解耦'!$A:$A,0)-1,FALSE)</f>
        <v>1000</v>
      </c>
      <c r="D61" s="45" t="s">
        <v>4</v>
      </c>
      <c r="E61" s="68"/>
      <c r="F61" s="76" t="s">
        <v>281</v>
      </c>
      <c r="G61" s="58">
        <f ca="1">ROUND(设计流量Q*总变化系数Kz/渠道数量/格栅后过水孔G2宽/格栅后过水孔G2高*1000000/86400,2)</f>
        <v>0.54</v>
      </c>
      <c r="H61" s="77" t="s">
        <v>5</v>
      </c>
      <c r="I61" s="228" t="s">
        <v>407</v>
      </c>
      <c r="J61" s="78">
        <v>0.4</v>
      </c>
      <c r="K61" s="79">
        <v>0.9</v>
      </c>
    </row>
    <row r="62" spans="1:11">
      <c r="A62" s="51" t="s">
        <v>286</v>
      </c>
      <c r="B62" s="69">
        <f ca="1">HLOOKUP(型号,'辅助-模块单元解耦'!$C$2:$Q$41,MATCH(数学建模!$A62,'辅助-模块单元解耦'!$A:$A,0)-1,FALSE)</f>
        <v>1000</v>
      </c>
      <c r="C62" s="69">
        <f ca="1">HLOOKUP(型号,'辅助-模块单元解耦'!$C$2:$Q$41,MATCH(数学建模!$A62,'辅助-模块单元解耦'!$A:$A,0)-1,FALSE)</f>
        <v>1000</v>
      </c>
      <c r="D62" s="54" t="s">
        <v>4</v>
      </c>
      <c r="E62" s="55"/>
      <c r="F62" s="76" t="s">
        <v>282</v>
      </c>
      <c r="G62" s="58">
        <f ca="1">ROUND(设计流量Q/渠道数量/格栅后过水孔G2宽/格栅后过水孔G2高*1000000/86400,2)</f>
        <v>0.35</v>
      </c>
      <c r="H62" s="77" t="s">
        <v>5</v>
      </c>
      <c r="I62" s="229"/>
      <c r="J62" s="78">
        <v>0.4</v>
      </c>
      <c r="K62" s="79">
        <v>0.9</v>
      </c>
    </row>
    <row r="63" spans="1:11">
      <c r="A63" s="51" t="s">
        <v>122</v>
      </c>
      <c r="B63" s="69">
        <f ca="1">HLOOKUP(型号,'辅助-模块单元解耦'!$C$2:$Q$41,MATCH(数学建模!$A63,'辅助-模块单元解耦'!$A:$A,0)-1,FALSE)</f>
        <v>200</v>
      </c>
      <c r="C63" s="69">
        <f ca="1">HLOOKUP(型号,'辅助-模块单元解耦'!$C$2:$Q$41,MATCH(数学建模!$A63,'辅助-模块单元解耦'!$A:$A,0)-1,FALSE)</f>
        <v>200</v>
      </c>
      <c r="D63" s="54" t="s">
        <v>4</v>
      </c>
      <c r="E63" s="55"/>
      <c r="F63" s="54"/>
      <c r="G63" s="54"/>
      <c r="H63" s="54"/>
      <c r="I63" s="55"/>
      <c r="J63" s="54"/>
      <c r="K63" s="81"/>
    </row>
    <row r="64" spans="1:11">
      <c r="A64" s="51" t="s">
        <v>284</v>
      </c>
      <c r="B64" s="206">
        <f ca="1">(格栅后过水孔G2高+栅后闸门门体超高)/1000</f>
        <v>1.2</v>
      </c>
      <c r="C64" s="206">
        <f ca="1">(格栅后过水孔G2高+栅后闸门门体超高)/1000</f>
        <v>1.2</v>
      </c>
      <c r="D64" s="54" t="s">
        <v>6</v>
      </c>
      <c r="E64" s="55"/>
      <c r="F64" s="54"/>
      <c r="G64" s="54"/>
      <c r="H64" s="54"/>
      <c r="I64" s="55"/>
      <c r="J64" s="54"/>
      <c r="K64" s="81"/>
    </row>
    <row r="65" spans="1:11" ht="17.25" thickBot="1">
      <c r="A65" s="95" t="s">
        <v>326</v>
      </c>
      <c r="B65" s="96">
        <f ca="1">HLOOKUP(型号,'辅助-模块单元解耦'!$C$2:$Q$41,MATCH(数学建模!$A65,'辅助-模块单元解耦'!$A:$A,0)-1,FALSE)</f>
        <v>0.75</v>
      </c>
      <c r="C65" s="96">
        <f ca="1">HLOOKUP(型号,'辅助-模块单元解耦'!$C$2:$Q$41,MATCH(数学建模!$A65,'辅助-模块单元解耦'!$A:$A,0)-1,FALSE)</f>
        <v>0.75</v>
      </c>
      <c r="D65" s="97" t="s">
        <v>121</v>
      </c>
      <c r="E65" s="98"/>
      <c r="F65" s="97"/>
      <c r="G65" s="97"/>
      <c r="H65" s="97"/>
      <c r="I65" s="98"/>
      <c r="J65" s="97"/>
      <c r="K65" s="99"/>
    </row>
    <row r="66" spans="1:11" ht="18" thickTop="1" thickBot="1">
      <c r="A66" s="100" t="s">
        <v>289</v>
      </c>
      <c r="B66" s="96">
        <f ca="1">HLOOKUP(型号,'辅助-模块单元解耦'!$C$2:$Q$41,MATCH(数学建模!$A66,'辅助-模块单元解耦'!$A:$A,0)-1,FALSE)</f>
        <v>2.2000000000000002</v>
      </c>
      <c r="C66" s="96">
        <f ca="1">HLOOKUP(型号,'辅助-模块单元解耦'!$C$2:$Q$41,MATCH(数学建模!$A66,'辅助-模块单元解耦'!$A:$A,0)-1,FALSE)</f>
        <v>2.2000000000000002</v>
      </c>
      <c r="D66" s="101" t="s">
        <v>121</v>
      </c>
      <c r="E66" s="102"/>
      <c r="F66" s="101"/>
      <c r="G66" s="101"/>
      <c r="H66" s="101"/>
      <c r="I66" s="102"/>
      <c r="J66" s="101"/>
      <c r="K66" s="103"/>
    </row>
    <row r="67" spans="1:11" ht="17.25" thickTop="1">
      <c r="A67" s="73" t="s">
        <v>295</v>
      </c>
      <c r="B67" s="69">
        <f ca="1">HLOOKUP(型号,'辅助-模块单元解耦'!$C$2:$Q$41,MATCH(数学建模!$A67,'辅助-模块单元解耦'!$A:$A,0)-1,FALSE)</f>
        <v>600</v>
      </c>
      <c r="C67" s="69">
        <f ca="1">HLOOKUP(型号,'辅助-模块单元解耦'!$C$2:$Q$41,MATCH(数学建模!$A67,'辅助-模块单元解耦'!$A:$A,0)-1,FALSE)</f>
        <v>600</v>
      </c>
      <c r="D67" s="75" t="s">
        <v>4</v>
      </c>
      <c r="E67" s="68"/>
      <c r="F67" s="75"/>
      <c r="G67" s="75"/>
      <c r="H67" s="75"/>
      <c r="I67" s="68"/>
      <c r="J67" s="75"/>
      <c r="K67" s="82"/>
    </row>
    <row r="68" spans="1:11">
      <c r="A68" s="73" t="s">
        <v>298</v>
      </c>
      <c r="B68" s="74">
        <f ca="1">HLOOKUP(型号,'辅助-模块单元解耦'!$C$2:$Q$41,MATCH(数学建模!$A68,'辅助-模块单元解耦'!$A:$A,0)-1,FALSE)</f>
        <v>1.1000000000000001</v>
      </c>
      <c r="C68" s="74">
        <f ca="1">HLOOKUP(型号,'辅助-模块单元解耦'!$C$2:$Q$41,MATCH(数学建模!$A68,'辅助-模块单元解耦'!$A:$A,0)-1,FALSE)</f>
        <v>1.1000000000000001</v>
      </c>
      <c r="D68" s="75" t="s">
        <v>223</v>
      </c>
      <c r="E68" s="68"/>
      <c r="F68" s="75"/>
      <c r="G68" s="75"/>
      <c r="H68" s="75"/>
      <c r="I68" s="68"/>
      <c r="J68" s="75"/>
      <c r="K68" s="82"/>
    </row>
    <row r="69" spans="1:11">
      <c r="A69" s="51" t="s">
        <v>296</v>
      </c>
      <c r="B69" s="53">
        <f ca="1">格栅渠净宽度+皮带输送机长度与格栅渠宽度偏差</f>
        <v>4.7</v>
      </c>
      <c r="C69" s="53">
        <f ca="1">格栅渠净宽度+皮带输送机长度与格栅渠宽度偏差</f>
        <v>4.7</v>
      </c>
      <c r="D69" s="54" t="s">
        <v>6</v>
      </c>
      <c r="E69" s="55"/>
      <c r="F69" s="54"/>
      <c r="G69" s="54"/>
      <c r="H69" s="54"/>
      <c r="I69" s="55"/>
      <c r="J69" s="54"/>
      <c r="K69" s="81"/>
    </row>
    <row r="70" spans="1:11">
      <c r="A70" s="180" t="s">
        <v>299</v>
      </c>
      <c r="B70" s="74">
        <f ca="1">HLOOKUP(型号,'辅助-模块单元解耦'!$C$2:$Q$41,MATCH(数学建模!$A70,'辅助-模块单元解耦'!$A:$A,0)-1,FALSE)</f>
        <v>1</v>
      </c>
      <c r="C70" s="74">
        <f ca="1">HLOOKUP(型号,'辅助-模块单元解耦'!$C$2:$Q$41,MATCH(数学建模!$A70,'辅助-模块单元解耦'!$A:$A,0)-1,FALSE)</f>
        <v>1</v>
      </c>
      <c r="D70" s="64" t="s">
        <v>223</v>
      </c>
      <c r="E70" s="181"/>
      <c r="F70" s="64"/>
      <c r="G70" s="64"/>
      <c r="H70" s="64"/>
      <c r="I70" s="181"/>
      <c r="J70" s="64"/>
      <c r="K70" s="182"/>
    </row>
    <row r="71" spans="1:11" ht="17.25" thickBot="1">
      <c r="A71" s="95" t="s">
        <v>297</v>
      </c>
      <c r="B71" s="96">
        <f ca="1">HLOOKUP(型号,'辅助-模块单元解耦'!$C$2:$Q$41,MATCH(数学建模!$A71,'辅助-模块单元解耦'!$A:$A,0)-1,FALSE)</f>
        <v>1.5</v>
      </c>
      <c r="C71" s="96">
        <f ca="1">HLOOKUP(型号,'辅助-模块单元解耦'!$C$2:$Q$41,MATCH(数学建模!$A71,'辅助-模块单元解耦'!$A:$A,0)-1,FALSE)</f>
        <v>1.5</v>
      </c>
      <c r="D71" s="97" t="s">
        <v>121</v>
      </c>
      <c r="E71" s="98"/>
      <c r="F71" s="97"/>
      <c r="G71" s="97"/>
      <c r="H71" s="97"/>
      <c r="I71" s="98"/>
      <c r="J71" s="97"/>
      <c r="K71" s="99"/>
    </row>
    <row r="72" spans="1:11" ht="17.25" thickTop="1">
      <c r="A72" s="92" t="s">
        <v>123</v>
      </c>
      <c r="B72" s="74">
        <f ca="1">HLOOKUP(型号,'辅助-模块单元解耦'!$C$2:$Q$41,MATCH(数学建模!$A72,'辅助-模块单元解耦'!$A:$A,0)-1,FALSE)</f>
        <v>0.25</v>
      </c>
      <c r="C72" s="74">
        <f ca="1">HLOOKUP(型号,'辅助-模块单元解耦'!$C$2:$Q$41,MATCH(数学建模!$A72,'辅助-模块单元解耦'!$A:$A,0)-1,FALSE)</f>
        <v>0.25</v>
      </c>
      <c r="D72" s="93" t="s">
        <v>124</v>
      </c>
      <c r="E72" s="94"/>
      <c r="F72" s="93"/>
      <c r="G72" s="93"/>
      <c r="H72" s="93"/>
      <c r="I72" s="94"/>
      <c r="J72" s="93"/>
      <c r="K72" s="183"/>
    </row>
    <row r="73" spans="1:11">
      <c r="A73" s="235" t="s">
        <v>438</v>
      </c>
      <c r="B73" s="236"/>
      <c r="C73" s="236"/>
      <c r="D73" s="236"/>
      <c r="E73" s="236"/>
      <c r="F73" s="236"/>
      <c r="G73" s="236"/>
      <c r="H73" s="236"/>
      <c r="I73" s="236"/>
      <c r="J73" s="236"/>
      <c r="K73" s="237"/>
    </row>
    <row r="74" spans="1:11">
      <c r="A74" s="46" t="s">
        <v>89</v>
      </c>
      <c r="B74" s="47" t="s">
        <v>90</v>
      </c>
      <c r="C74" s="47"/>
      <c r="D74" s="47" t="s">
        <v>91</v>
      </c>
      <c r="E74" s="48" t="s">
        <v>92</v>
      </c>
      <c r="F74" s="47" t="s">
        <v>89</v>
      </c>
      <c r="G74" s="47" t="s">
        <v>90</v>
      </c>
      <c r="H74" s="47" t="s">
        <v>91</v>
      </c>
      <c r="I74" s="47" t="s">
        <v>92</v>
      </c>
      <c r="J74" s="70" t="s">
        <v>105</v>
      </c>
      <c r="K74" s="71" t="s">
        <v>106</v>
      </c>
    </row>
    <row r="75" spans="1:11" ht="33">
      <c r="A75" s="51" t="s">
        <v>216</v>
      </c>
      <c r="B75" s="69" t="s">
        <v>217</v>
      </c>
      <c r="C75" s="69" t="s">
        <v>217</v>
      </c>
      <c r="D75" s="47"/>
      <c r="E75" s="48"/>
      <c r="F75" s="76" t="s">
        <v>75</v>
      </c>
      <c r="G75" s="58">
        <f ca="1">ROUND(管内水深/(污水总进水管管径d1/1000),2)</f>
        <v>0.5</v>
      </c>
      <c r="H75" s="54"/>
      <c r="I75" s="55" t="str">
        <f ca="1">CONCATENATE("最大设计充满度",IF(介质类别="污水管道",VLOOKUP(污水总进水管管径d1,'辅助-无压圆管水力计算'!A43:C50,3,1),1),"，《室外排水设计标准GB50014-2021》P20")</f>
        <v>最大设计充满度0.75，《室外排水设计标准GB50014-2021》P20</v>
      </c>
      <c r="J75" s="85"/>
      <c r="K75" s="86">
        <f ca="1">IF(介质类别="污水管道",VLOOKUP(污水总进水管管径d1,'辅助-无压圆管水力计算'!A43:C50,3,1),1)</f>
        <v>0.75</v>
      </c>
    </row>
    <row r="76" spans="1:11" ht="33">
      <c r="A76" s="51" t="s">
        <v>207</v>
      </c>
      <c r="B76" s="69">
        <f ca="1">HLOOKUP(型号,'辅助-模块单元解耦'!$C$2:$Q$41,MATCH(数学建模!$A76,'辅助-模块单元解耦'!$A:$A,0)-1,FALSE)</f>
        <v>1200</v>
      </c>
      <c r="C76" s="69">
        <f ca="1">HLOOKUP(型号,'辅助-模块单元解耦'!$C$2:$Q$41,MATCH(数学建模!$A76,'辅助-模块单元解耦'!$A:$A,0)-1,FALSE)</f>
        <v>1200</v>
      </c>
      <c r="D76" s="54" t="s">
        <v>126</v>
      </c>
      <c r="E76" s="55"/>
      <c r="F76" s="76" t="s">
        <v>76</v>
      </c>
      <c r="G76" s="58">
        <f ca="1">ROUND(设计流量Q*总变化系数Kz/过水断面面积/86400,2)</f>
        <v>1.92</v>
      </c>
      <c r="H76" s="47"/>
      <c r="I76" s="55" t="str">
        <f>CONCATENATE("最小设计流速",IF(介质类别="污水管道",0.6,0.75),"m/s，《室外排水设计标准GB50014-2021》P21")</f>
        <v>最小设计流速0.6m/s，《室外排水设计标准GB50014-2021》P21</v>
      </c>
      <c r="J76" s="78">
        <f>IF(介质类别="污水管道",0.6,0.75)</f>
        <v>0.6</v>
      </c>
      <c r="K76" s="71"/>
    </row>
    <row r="77" spans="1:11">
      <c r="A77" s="51" t="s">
        <v>415</v>
      </c>
      <c r="B77" s="53">
        <f ca="1">栅前工作水深-管底预留预埋件安装高度h2</f>
        <v>0.60000000000000009</v>
      </c>
      <c r="C77" s="53">
        <f ca="1">栅前工作水深-管底预留预埋件安装高度h2</f>
        <v>0.60000000000000009</v>
      </c>
      <c r="D77" s="54" t="s">
        <v>223</v>
      </c>
      <c r="E77" s="55"/>
      <c r="F77" s="112"/>
      <c r="G77" s="53"/>
      <c r="H77" s="212"/>
      <c r="I77" s="212"/>
      <c r="J77" s="213"/>
      <c r="K77" s="214"/>
    </row>
    <row r="78" spans="1:11">
      <c r="A78" s="51" t="s">
        <v>235</v>
      </c>
      <c r="B78" s="83">
        <f ca="1">4*ASIN(充满度^0.5)</f>
        <v>3.1415926535897936</v>
      </c>
      <c r="C78" s="83">
        <f ca="1">4*ASIN(充满度^0.5)</f>
        <v>3.1415926535897936</v>
      </c>
      <c r="D78" s="75" t="s">
        <v>237</v>
      </c>
      <c r="E78" s="68"/>
      <c r="F78" s="76"/>
      <c r="G78" s="47"/>
      <c r="H78" s="47"/>
      <c r="I78" s="47"/>
      <c r="J78" s="70"/>
      <c r="K78" s="71"/>
    </row>
    <row r="79" spans="1:11" ht="17.25" thickBot="1">
      <c r="A79" s="51" t="s">
        <v>414</v>
      </c>
      <c r="B79" s="53">
        <f ca="1">((污水总进水管管径d1/1000)^2)/8*(充满角-SIN(充满角))</f>
        <v>0.56548667764616289</v>
      </c>
      <c r="C79" s="53">
        <f ca="1">((污水总进水管管径d1/1000)^2)/8*(充满角-SIN(充满角))</f>
        <v>0.56548667764616289</v>
      </c>
      <c r="D79" s="207" t="s">
        <v>115</v>
      </c>
      <c r="E79" s="90"/>
      <c r="F79" s="208"/>
      <c r="G79" s="209"/>
      <c r="H79" s="209"/>
      <c r="I79" s="209"/>
      <c r="J79" s="210"/>
      <c r="K79" s="211"/>
    </row>
    <row r="80" spans="1:11" ht="17.25" thickTop="1">
      <c r="A80" s="187" t="s">
        <v>314</v>
      </c>
      <c r="B80" s="188">
        <f ca="1">HLOOKUP(型号,'辅助-模块单元解耦'!$C$2:$Q$41,MATCH(数学建模!$A80,'辅助-模块单元解耦'!$A:$A,0)-1,FALSE)</f>
        <v>500</v>
      </c>
      <c r="C80" s="188">
        <f ca="1">HLOOKUP(型号,'辅助-模块单元解耦'!$C$2:$Q$41,MATCH(数学建模!$A80,'辅助-模块单元解耦'!$A:$A,0)-1,FALSE)</f>
        <v>500</v>
      </c>
      <c r="D80" s="189" t="s">
        <v>126</v>
      </c>
      <c r="E80" s="189"/>
      <c r="F80" s="190"/>
      <c r="G80" s="191"/>
      <c r="H80" s="189"/>
      <c r="I80" s="192"/>
      <c r="J80" s="193"/>
      <c r="K80" s="194"/>
    </row>
    <row r="81" spans="1:11" ht="18">
      <c r="A81" s="104" t="s">
        <v>127</v>
      </c>
      <c r="B81" s="105"/>
      <c r="C81" s="105"/>
      <c r="D81" s="105"/>
      <c r="E81" s="105"/>
      <c r="F81" s="105"/>
      <c r="G81" s="105"/>
      <c r="H81" s="106"/>
      <c r="I81" s="105"/>
      <c r="J81" s="105"/>
      <c r="K81" s="107"/>
    </row>
    <row r="82" spans="1:11">
      <c r="A82" s="235" t="s">
        <v>439</v>
      </c>
      <c r="B82" s="236"/>
      <c r="C82" s="236"/>
      <c r="D82" s="236"/>
      <c r="E82" s="236"/>
      <c r="F82" s="236"/>
      <c r="G82" s="236"/>
      <c r="H82" s="236"/>
      <c r="I82" s="236"/>
      <c r="J82" s="236"/>
      <c r="K82" s="237"/>
    </row>
    <row r="83" spans="1:11">
      <c r="A83" s="46" t="s">
        <v>89</v>
      </c>
      <c r="B83" s="47" t="s">
        <v>90</v>
      </c>
      <c r="C83" s="47"/>
      <c r="D83" s="47" t="s">
        <v>91</v>
      </c>
      <c r="E83" s="48" t="s">
        <v>92</v>
      </c>
      <c r="F83" s="49"/>
      <c r="G83" s="49"/>
      <c r="H83" s="49"/>
      <c r="I83" s="49"/>
      <c r="J83" s="49"/>
      <c r="K83" s="50"/>
    </row>
    <row r="84" spans="1:11">
      <c r="A84" s="108" t="str">
        <f>A8</f>
        <v>最终型号</v>
      </c>
      <c r="B84" s="47" t="str">
        <f ca="1">最终型号</f>
        <v>BE-CGS-SS-6-1.4</v>
      </c>
      <c r="C84" s="47"/>
      <c r="D84" s="47"/>
      <c r="E84" s="48"/>
      <c r="F84" s="49"/>
      <c r="G84" s="49"/>
      <c r="H84" s="49"/>
      <c r="I84" s="49"/>
      <c r="J84" s="49"/>
      <c r="K84" s="50"/>
    </row>
    <row r="85" spans="1:11">
      <c r="A85" s="51" t="str">
        <f>A36</f>
        <v>进水井长度L1</v>
      </c>
      <c r="B85" s="195">
        <f ca="1">B36</f>
        <v>2</v>
      </c>
      <c r="C85" s="109"/>
      <c r="D85" s="109" t="str">
        <f>D36</f>
        <v>m</v>
      </c>
      <c r="E85" s="55"/>
      <c r="K85" s="56"/>
    </row>
    <row r="86" spans="1:11">
      <c r="A86" s="51" t="str">
        <f>A27</f>
        <v>进水井宽度</v>
      </c>
      <c r="B86" s="195">
        <f ca="1">B27</f>
        <v>3.6</v>
      </c>
      <c r="C86" s="109"/>
      <c r="D86" s="109" t="str">
        <f>D27</f>
        <v>m</v>
      </c>
      <c r="E86" s="55"/>
      <c r="K86" s="56"/>
    </row>
    <row r="87" spans="1:11">
      <c r="A87" s="51" t="str">
        <f t="shared" ref="A87:B94" si="0">A37</f>
        <v>进水井与格栅渠隔墙厚度</v>
      </c>
      <c r="B87" s="195">
        <f t="shared" ca="1" si="0"/>
        <v>0.5</v>
      </c>
      <c r="C87" s="109"/>
      <c r="D87" s="109" t="str">
        <f t="shared" ref="D87:D94" si="1">D37</f>
        <v>m</v>
      </c>
      <c r="E87" s="55"/>
      <c r="K87" s="56"/>
    </row>
    <row r="88" spans="1:11">
      <c r="A88" s="51" t="str">
        <f t="shared" si="0"/>
        <v>格栅渠预留检修空间长度L2</v>
      </c>
      <c r="B88" s="195">
        <f t="shared" ca="1" si="0"/>
        <v>1.5</v>
      </c>
      <c r="C88" s="111"/>
      <c r="D88" s="111" t="str">
        <f t="shared" si="1"/>
        <v>m</v>
      </c>
      <c r="E88" s="55"/>
      <c r="K88" s="56"/>
    </row>
    <row r="89" spans="1:11">
      <c r="A89" s="51" t="str">
        <f t="shared" si="0"/>
        <v>格栅水平投影长度L3</v>
      </c>
      <c r="B89" s="195">
        <f t="shared" ca="1" si="0"/>
        <v>2.04</v>
      </c>
      <c r="C89" s="109"/>
      <c r="D89" s="109" t="str">
        <f t="shared" si="1"/>
        <v>m</v>
      </c>
      <c r="E89" s="55"/>
      <c r="K89" s="56"/>
    </row>
    <row r="90" spans="1:11">
      <c r="A90" s="51" t="str">
        <f t="shared" si="0"/>
        <v>格栅顶部安装空间预留长度L4</v>
      </c>
      <c r="B90" s="195">
        <f t="shared" ca="1" si="0"/>
        <v>1.6</v>
      </c>
      <c r="C90" s="111"/>
      <c r="D90" s="111" t="str">
        <f t="shared" si="1"/>
        <v>m</v>
      </c>
      <c r="E90" s="55"/>
      <c r="K90" s="56"/>
    </row>
    <row r="91" spans="1:11">
      <c r="A91" s="51" t="str">
        <f t="shared" si="0"/>
        <v>格栅后预留空间预设长度L5'</v>
      </c>
      <c r="B91" s="195">
        <f t="shared" ca="1" si="0"/>
        <v>3</v>
      </c>
      <c r="C91" s="112"/>
      <c r="D91" s="111" t="str">
        <f t="shared" si="1"/>
        <v>m</v>
      </c>
      <c r="E91" s="55"/>
      <c r="K91" s="56"/>
    </row>
    <row r="92" spans="1:11">
      <c r="A92" s="51" t="str">
        <f t="shared" si="0"/>
        <v>过水渠与格栅渠隔墙厚度</v>
      </c>
      <c r="B92" s="195">
        <f t="shared" ca="1" si="0"/>
        <v>0.5</v>
      </c>
      <c r="C92" s="112"/>
      <c r="D92" s="111" t="str">
        <f t="shared" si="1"/>
        <v>m</v>
      </c>
      <c r="E92" s="68"/>
      <c r="K92" s="56"/>
    </row>
    <row r="93" spans="1:11">
      <c r="A93" s="51" t="str">
        <f t="shared" si="0"/>
        <v>过水渠长L6</v>
      </c>
      <c r="B93" s="195">
        <f t="shared" ca="1" si="0"/>
        <v>2</v>
      </c>
      <c r="C93" s="112"/>
      <c r="D93" s="111" t="str">
        <f t="shared" si="1"/>
        <v>m</v>
      </c>
      <c r="E93" s="68"/>
      <c r="K93" s="56"/>
    </row>
    <row r="94" spans="1:11">
      <c r="A94" s="51" t="str">
        <f t="shared" si="0"/>
        <v>预设总长</v>
      </c>
      <c r="B94" s="195">
        <f t="shared" ca="1" si="0"/>
        <v>13.14</v>
      </c>
      <c r="C94" s="112"/>
      <c r="D94" s="111" t="str">
        <f t="shared" si="1"/>
        <v>m</v>
      </c>
      <c r="E94" s="68"/>
      <c r="K94" s="56"/>
    </row>
    <row r="95" spans="1:11">
      <c r="A95" s="51" t="str">
        <f t="shared" ref="A95:B97" si="2">A24</f>
        <v>栅前工作水深</v>
      </c>
      <c r="B95" s="215">
        <f t="shared" ca="1" si="2"/>
        <v>0.9</v>
      </c>
      <c r="C95" s="111"/>
      <c r="D95" s="111" t="str">
        <f>D24</f>
        <v>m</v>
      </c>
      <c r="E95" s="68"/>
      <c r="K95" s="56"/>
    </row>
    <row r="96" spans="1:11">
      <c r="A96" s="51" t="str">
        <f t="shared" si="2"/>
        <v>进水井超过地面高度h1</v>
      </c>
      <c r="B96" s="215">
        <f t="shared" ca="1" si="2"/>
        <v>0.3</v>
      </c>
      <c r="C96" s="111"/>
      <c r="D96" s="111" t="str">
        <f>D25</f>
        <v>m</v>
      </c>
      <c r="E96" s="68"/>
      <c r="K96" s="56"/>
    </row>
    <row r="97" spans="1:11">
      <c r="A97" s="51" t="str">
        <f t="shared" si="2"/>
        <v>管底预留预埋件安装高度h2</v>
      </c>
      <c r="B97" s="215">
        <f t="shared" ca="1" si="2"/>
        <v>0.3</v>
      </c>
      <c r="C97" s="111"/>
      <c r="D97" s="111" t="str">
        <f>D26</f>
        <v>m</v>
      </c>
      <c r="E97" s="68"/>
      <c r="K97" s="56"/>
    </row>
    <row r="98" spans="1:11">
      <c r="A98" s="57" t="str">
        <f>A9</f>
        <v>进水管管底标高</v>
      </c>
      <c r="B98" s="216">
        <f>B9</f>
        <v>-7</v>
      </c>
      <c r="C98" s="111"/>
      <c r="D98" s="113" t="str">
        <f>D9</f>
        <v>m</v>
      </c>
      <c r="E98" s="68"/>
      <c r="K98" s="56"/>
    </row>
    <row r="99" spans="1:11">
      <c r="A99" s="51" t="str">
        <f>A29</f>
        <v>进水井深度（渠深）H</v>
      </c>
      <c r="B99" s="215">
        <f ca="1">B29</f>
        <v>7.6</v>
      </c>
      <c r="C99" s="111"/>
      <c r="D99" s="111" t="str">
        <f>D29</f>
        <v>m</v>
      </c>
      <c r="E99" s="55"/>
      <c r="K99" s="56"/>
    </row>
    <row r="100" spans="1:11">
      <c r="A100" s="51" t="str">
        <f>A14</f>
        <v>格栅宽度</v>
      </c>
      <c r="B100" s="111">
        <f ca="1">B14</f>
        <v>1400</v>
      </c>
      <c r="C100" s="111"/>
      <c r="D100" s="111" t="str">
        <f>D14</f>
        <v>mm</v>
      </c>
      <c r="E100" s="68"/>
      <c r="K100" s="56"/>
    </row>
    <row r="101" spans="1:11">
      <c r="A101" s="51" t="str">
        <f t="shared" ref="A101:B103" si="3">A16</f>
        <v>单格渠道宽度B</v>
      </c>
      <c r="B101" s="111">
        <f t="shared" ca="1" si="3"/>
        <v>1.5</v>
      </c>
      <c r="C101" s="111"/>
      <c r="D101" s="111" t="str">
        <f>D16</f>
        <v>m</v>
      </c>
      <c r="E101" s="68"/>
      <c r="K101" s="56"/>
    </row>
    <row r="102" spans="1:11">
      <c r="A102" s="51" t="str">
        <f t="shared" si="3"/>
        <v>渠道隔墙厚度d</v>
      </c>
      <c r="B102" s="111">
        <f t="shared" ca="1" si="3"/>
        <v>0.6</v>
      </c>
      <c r="C102" s="111"/>
      <c r="D102" s="111" t="str">
        <f>D17</f>
        <v>m</v>
      </c>
      <c r="E102" s="68"/>
      <c r="K102" s="56"/>
    </row>
    <row r="103" spans="1:11">
      <c r="A103" s="51" t="str">
        <f t="shared" si="3"/>
        <v>格栅渠净宽度</v>
      </c>
      <c r="B103" s="215">
        <f t="shared" ca="1" si="3"/>
        <v>3.6</v>
      </c>
      <c r="C103" s="111"/>
      <c r="D103" s="111" t="str">
        <f>D18</f>
        <v>m</v>
      </c>
      <c r="E103" s="68"/>
      <c r="K103" s="56"/>
    </row>
    <row r="104" spans="1:11">
      <c r="A104" s="241" t="s">
        <v>441</v>
      </c>
      <c r="B104" s="242"/>
      <c r="C104" s="242"/>
      <c r="D104" s="242"/>
      <c r="E104" s="242"/>
      <c r="F104" s="242"/>
      <c r="G104" s="242"/>
      <c r="H104" s="242"/>
      <c r="I104" s="242"/>
      <c r="J104" s="242"/>
      <c r="K104" s="243"/>
    </row>
    <row r="105" spans="1:11">
      <c r="A105" s="114" t="s">
        <v>0</v>
      </c>
      <c r="B105" s="114" t="s">
        <v>128</v>
      </c>
      <c r="C105" s="114"/>
      <c r="D105" s="114" t="s">
        <v>129</v>
      </c>
      <c r="E105" s="114" t="s">
        <v>1</v>
      </c>
      <c r="F105" s="114" t="s">
        <v>130</v>
      </c>
      <c r="G105" s="114" t="s">
        <v>334</v>
      </c>
      <c r="H105" s="115" t="s">
        <v>132</v>
      </c>
      <c r="I105" s="114" t="s">
        <v>133</v>
      </c>
      <c r="J105" s="114" t="s">
        <v>134</v>
      </c>
      <c r="K105" s="116" t="s">
        <v>135</v>
      </c>
    </row>
    <row r="106" spans="1:11" ht="115.5">
      <c r="A106" s="230" t="str">
        <f ca="1">IF(COUNTIF(最终型号,"ZDY*")=1,"见自定义设备配置清单",最终型号)</f>
        <v>BE-CGS-SS-6-1.4</v>
      </c>
      <c r="B106" s="117" t="str">
        <f t="array" aca="1" ref="B106:B119" ca="1">IF(OFFSET('3、设备配置清单表'!$F$2,MATCH(模块型号,'3、设备配置清单表'!$D:$D,0)-2,MATCH(数学建模!B105,'3、设备配置清单表'!$1:$1,0)-6,14,1)="","",OFFSET('3、设备配置清单表'!$F$2,MATCH(模块型号,'3、设备配置清单表'!$D:$D,0)-2,MATCH(数学建模!B105,'3、设备配置清单表'!$1:$1,0)-6,14,1))</f>
        <v>101（1）-4-X01A/B</v>
      </c>
      <c r="C106" s="117"/>
      <c r="D106" s="117" t="str">
        <f t="array" aca="1" ref="D106:D119" ca="1">IF(OFFSET('3、设备配置清单表'!$F$2,MATCH(模块型号,'3、设备配置清单表'!$D:$D,0)-2,MATCH(数学建模!D105,'3、设备配置清单表'!$1:$1,0)-6,14,1)="","",OFFSET('3、设备配置清单表'!$F$2,MATCH(模块型号,'3、设备配置清单表'!$D:$D,0)-2,MATCH(数学建模!D105,'3、设备配置清单表'!$1:$1,0)-6,14,1))</f>
        <v>工艺设备</v>
      </c>
      <c r="E106" s="117" t="str">
        <f t="array" aca="1" ref="E106:E119" ca="1">IF(OFFSET('3、设备配置清单表'!$F$2,MATCH(模块型号,'3、设备配置清单表'!$D:$D,0)-2,MATCH(数学建模!E105,'3、设备配置清单表'!$1:$1,0)-6,14,1)="","",OFFSET('3、设备配置清单表'!$F$2,MATCH(模块型号,'3、设备配置清单表'!$D:$D,0)-2,MATCH(数学建模!E105,'3、设备配置清单表'!$1:$1,0)-6,14,1))</f>
        <v>附壁式铸铁镶铜方闸门</v>
      </c>
      <c r="F106" s="117"/>
      <c r="G106" s="198" t="str">
        <f t="array" aca="1" ref="G106:G119" ca="1">IF(OFFSET('3、设备配置清单表'!$F$2,MATCH(模块型号,'3、设备配置清单表'!$D:$D,0)-2,MATCH(数学建模!G105,'3、设备配置清单表'!$1:$1,0)-6,14,1)="","",OFFSET('3、设备配置清单表'!$F$2,MATCH(模块型号,'3、设备配置清单表'!$D:$D,0)-2,MATCH(数学建模!G105,'3、设备配置清单表'!$1:$1,0)-6,14,1))</f>
        <v>洞口尺寸1000×1000mm,N=0.75kW，提升高度1.2m,洞口底部距池顶7.3m，双向承压，附壁式安装，单向升杆</v>
      </c>
      <c r="H106" s="117" t="str">
        <f t="array" aca="1" ref="H106:H119" ca="1">IF(OFFSET('3、设备配置清单表'!$F$2,MATCH(模块型号,'3、设备配置清单表'!$D:$D,0)-2,MATCH(数学建模!H105,'3、设备配置清单表'!$1:$1,0)-6,14,1)="","",OFFSET('3、设备配置清单表'!$F$2,MATCH(模块型号,'3、设备配置清单表'!$D:$D,0)-2,MATCH(数学建模!H105,'3、设备配置清单表'!$1:$1,0)-6,14,1))</f>
        <v/>
      </c>
      <c r="I106" s="117" t="str">
        <f t="array" aca="1" ref="I106:I119" ca="1">IF(OFFSET('3、设备配置清单表'!$F$2,MATCH(模块型号,'3、设备配置清单表'!$D:$D,0)-2,MATCH(数学建模!I105,'3、设备配置清单表'!$1:$1,0)-6,14,1)="","",OFFSET('3、设备配置清单表'!$F$2,MATCH(模块型号,'3、设备配置清单表'!$D:$D,0)-2,MATCH(数学建模!I105,'3、设备配置清单表'!$1:$1,0)-6,14,1))</f>
        <v>台</v>
      </c>
      <c r="J106" s="117">
        <f t="array" aca="1" ref="J106:J119" ca="1">IF(OFFSET('3、设备配置清单表'!$F$2,MATCH(模块型号,'3、设备配置清单表'!$D:$D,0)-2,MATCH(数学建模!J105,'3、设备配置清单表'!$1:$1,0)-6,14,1)="","",OFFSET('3、设备配置清单表'!$F$2,MATCH(模块型号,'3、设备配置清单表'!$D:$D,0)-2,MATCH(数学建模!J105,'3、设备配置清单表'!$1:$1,0)-6,14,1))</f>
        <v>2</v>
      </c>
      <c r="K106" s="117" t="str">
        <f t="array" aca="1" ref="K106:K119" ca="1">IF(OFFSET('3、设备配置清单表'!$F$2,MATCH(模块型号,'3、设备配置清单表'!$D:$D,0)-2,MATCH(数学建模!K105,'3、设备配置清单表'!$1:$1,0)-6,14,1)="","",OFFSET('3、设备配置清单表'!$F$2,MATCH(模块型号,'3、设备配置清单表'!$D:$D,0)-2,MATCH(数学建模!K105,'3、设备配置清单表'!$1:$1,0)-6,14,1))</f>
        <v>格栅渠进水口闸门，配套手电两用启闭机</v>
      </c>
    </row>
    <row r="107" spans="1:11" ht="132">
      <c r="A107" s="230"/>
      <c r="B107" s="117" t="str">
        <f ca="1"/>
        <v>101（1）-4-X02A/B</v>
      </c>
      <c r="C107" s="117"/>
      <c r="D107" s="117" t="str">
        <f ca="1"/>
        <v>工艺设备</v>
      </c>
      <c r="E107" s="117" t="str">
        <f ca="1"/>
        <v>钢丝绳牵引式粗格栅机</v>
      </c>
      <c r="F107" s="117"/>
      <c r="G107" s="198" t="str">
        <f ca="1"/>
        <v>渠宽B=1.5m，设备宽度1.4m，渠深7.6m，安装角度α=75°，栅前水深h=0.9m，栅隙b=15mm，N=2.2kW，材质SS304</v>
      </c>
      <c r="H107" s="117" t="str">
        <f ca="1"/>
        <v>SS304</v>
      </c>
      <c r="I107" s="117" t="str">
        <f ca="1"/>
        <v>台</v>
      </c>
      <c r="J107" s="117">
        <f ca="1"/>
        <v>2</v>
      </c>
      <c r="K107" s="117" t="str">
        <f ca="1"/>
        <v>水下部分选取SS304不锈钢</v>
      </c>
    </row>
    <row r="108" spans="1:11" ht="82.5">
      <c r="A108" s="230"/>
      <c r="B108" s="117" t="str">
        <f ca="1"/>
        <v>101（1）-4-L01</v>
      </c>
      <c r="C108" s="117"/>
      <c r="D108" s="117" t="str">
        <f ca="1"/>
        <v>工艺设备</v>
      </c>
      <c r="E108" s="117" t="str">
        <f ca="1"/>
        <v>皮带输送机</v>
      </c>
      <c r="F108" s="117"/>
      <c r="G108" s="198" t="str">
        <f ca="1"/>
        <v>宽度B=600mm，长度L=4.7m，皮带上表面距平台高度1.0m（与格栅机配套），N=1.5kW</v>
      </c>
      <c r="H108" s="117" t="str">
        <f ca="1"/>
        <v>SS304</v>
      </c>
      <c r="I108" s="117" t="str">
        <f ca="1"/>
        <v>台</v>
      </c>
      <c r="J108" s="117">
        <f ca="1"/>
        <v>1</v>
      </c>
      <c r="K108" s="117" t="str">
        <f ca="1"/>
        <v>与格栅机成套供货</v>
      </c>
    </row>
    <row r="109" spans="1:11" ht="33">
      <c r="A109" s="230"/>
      <c r="B109" s="117" t="str">
        <f ca="1"/>
        <v>101（1）-4-V01</v>
      </c>
      <c r="C109" s="117"/>
      <c r="D109" s="117" t="str">
        <f ca="1"/>
        <v>工艺设备</v>
      </c>
      <c r="E109" s="117" t="str">
        <f ca="1"/>
        <v>栅渣小车</v>
      </c>
      <c r="F109" s="117"/>
      <c r="G109" s="198" t="str">
        <f ca="1"/>
        <v>有效容积0.25m3，主体材质碳钢防腐</v>
      </c>
      <c r="H109" s="117" t="str">
        <f ca="1"/>
        <v>主体材质碳钢防腐</v>
      </c>
      <c r="I109" s="117" t="str">
        <f ca="1"/>
        <v>台</v>
      </c>
      <c r="J109" s="117">
        <f ca="1"/>
        <v>1</v>
      </c>
      <c r="K109" s="117" t="str">
        <f ca="1"/>
        <v/>
      </c>
    </row>
    <row r="110" spans="1:11" ht="115.5">
      <c r="A110" s="230"/>
      <c r="B110" s="117" t="str">
        <f ca="1"/>
        <v>101（1）-4-X03A/B</v>
      </c>
      <c r="C110" s="117"/>
      <c r="D110" s="117" t="str">
        <f ca="1"/>
        <v>工艺设备</v>
      </c>
      <c r="E110" s="117" t="str">
        <f ca="1"/>
        <v>附壁式铸铁镶铜方闸门</v>
      </c>
      <c r="F110" s="117"/>
      <c r="G110" s="198" t="str">
        <f ca="1"/>
        <v>洞口尺寸1000×1000mm,N=0.75kW，提升高度1.2m,洞口底部距池顶7.6m，双向承压，附壁式安装，单向升杆</v>
      </c>
      <c r="H110" s="117" t="str">
        <f ca="1"/>
        <v/>
      </c>
      <c r="I110" s="117" t="str">
        <f ca="1"/>
        <v>台</v>
      </c>
      <c r="J110" s="117">
        <f ca="1"/>
        <v>2</v>
      </c>
      <c r="K110" s="117" t="str">
        <f ca="1"/>
        <v>格栅渠出水口闸门，配套手电两用启闭机</v>
      </c>
    </row>
    <row r="111" spans="1:11" ht="66">
      <c r="A111" s="230"/>
      <c r="B111" s="117" t="str">
        <f ca="1"/>
        <v/>
      </c>
      <c r="C111" s="117"/>
      <c r="D111" s="117" t="str">
        <f ca="1"/>
        <v>工艺材料</v>
      </c>
      <c r="E111" s="117" t="str">
        <f ca="1"/>
        <v>污水总进水管</v>
      </c>
      <c r="F111" s="117"/>
      <c r="G111" s="198" t="str">
        <f ca="1"/>
        <v>焊接钢管，D1220×10（根据实际项目进行修改)</v>
      </c>
      <c r="H111" s="117" t="str">
        <f ca="1"/>
        <v>Q235A</v>
      </c>
      <c r="I111" s="117" t="str">
        <f ca="1"/>
        <v>米</v>
      </c>
      <c r="J111" s="117">
        <f ca="1"/>
        <v>1</v>
      </c>
      <c r="K111" s="117" t="str">
        <f ca="1"/>
        <v>厂区总进水管，通过进水检查井转换</v>
      </c>
    </row>
    <row r="112" spans="1:11" ht="66">
      <c r="A112" s="230"/>
      <c r="B112" s="117" t="str">
        <f ca="1"/>
        <v/>
      </c>
      <c r="C112" s="117"/>
      <c r="D112" s="117" t="str">
        <f ca="1"/>
        <v>工艺材料</v>
      </c>
      <c r="E112" s="117" t="str">
        <f ca="1"/>
        <v>厂区污水进水管</v>
      </c>
      <c r="F112" s="117"/>
      <c r="G112" s="198" t="str">
        <f ca="1"/>
        <v>焊接钢管，D530×9</v>
      </c>
      <c r="H112" s="117" t="str">
        <f ca="1"/>
        <v>Q235A</v>
      </c>
      <c r="I112" s="117" t="str">
        <f ca="1"/>
        <v>米</v>
      </c>
      <c r="J112" s="117">
        <f ca="1"/>
        <v>1</v>
      </c>
      <c r="K112" s="117" t="str">
        <f ca="1"/>
        <v>厂区内排水管，通过进水检查井转换</v>
      </c>
    </row>
    <row r="113" spans="1:11">
      <c r="A113" s="230"/>
      <c r="B113" s="117" t="str">
        <f ca="1"/>
        <v/>
      </c>
      <c r="C113" s="117"/>
      <c r="D113" s="117" t="str">
        <f ca="1"/>
        <v>工艺材料</v>
      </c>
      <c r="E113" s="117" t="str">
        <f ca="1"/>
        <v>刚性防水套管（A型）</v>
      </c>
      <c r="F113" s="117"/>
      <c r="G113" s="198" t="str">
        <f ca="1"/>
        <v>DN1200 Q235A</v>
      </c>
      <c r="H113" s="117" t="str">
        <f ca="1"/>
        <v>Q235A</v>
      </c>
      <c r="I113" s="117" t="str">
        <f ca="1"/>
        <v>个</v>
      </c>
      <c r="J113" s="117">
        <f ca="1"/>
        <v>1</v>
      </c>
      <c r="K113" s="117" t="str">
        <f ca="1"/>
        <v/>
      </c>
    </row>
    <row r="114" spans="1:11">
      <c r="A114" s="230"/>
      <c r="B114" s="117" t="str">
        <f ca="1"/>
        <v/>
      </c>
      <c r="C114" s="117"/>
      <c r="D114" s="117" t="str">
        <f ca="1"/>
        <v>工艺材料</v>
      </c>
      <c r="E114" s="117" t="str">
        <f ca="1"/>
        <v>刚性防水套管（A型）</v>
      </c>
      <c r="F114" s="117"/>
      <c r="G114" s="198" t="str">
        <f ca="1"/>
        <v>DN500 Q235A</v>
      </c>
      <c r="H114" s="117" t="str">
        <f ca="1"/>
        <v>Q235A</v>
      </c>
      <c r="I114" s="117" t="str">
        <f ca="1"/>
        <v>个</v>
      </c>
      <c r="J114" s="117">
        <f ca="1"/>
        <v>1</v>
      </c>
      <c r="K114" s="117" t="str">
        <f ca="1"/>
        <v/>
      </c>
    </row>
    <row r="115" spans="1:11" ht="33">
      <c r="A115" s="230"/>
      <c r="B115" s="117" t="str">
        <f ca="1"/>
        <v/>
      </c>
      <c r="C115" s="117"/>
      <c r="D115" s="117" t="str">
        <f ca="1"/>
        <v>工艺材料</v>
      </c>
      <c r="E115" s="117" t="str">
        <f ca="1"/>
        <v>热浸锌钢盖板</v>
      </c>
      <c r="F115" s="117"/>
      <c r="G115" s="198" t="str">
        <f ca="1"/>
        <v>800×1200mm</v>
      </c>
      <c r="H115" s="117" t="str">
        <f ca="1"/>
        <v>Q235A</v>
      </c>
      <c r="I115" s="117" t="str">
        <f ca="1"/>
        <v>个</v>
      </c>
      <c r="J115" s="117">
        <f ca="1"/>
        <v>2</v>
      </c>
      <c r="K115" s="117" t="str">
        <f ca="1"/>
        <v>设备检修孔盖板</v>
      </c>
    </row>
    <row r="116" spans="1:11" ht="33">
      <c r="A116" s="230"/>
      <c r="B116" s="117" t="str">
        <f ca="1"/>
        <v/>
      </c>
      <c r="C116" s="117"/>
      <c r="D116" s="117" t="str">
        <f ca="1"/>
        <v>工艺材料</v>
      </c>
      <c r="E116" s="117" t="str">
        <f ca="1"/>
        <v>热浸锌钢盖板</v>
      </c>
      <c r="F116" s="117"/>
      <c r="G116" s="198" t="str">
        <f ca="1"/>
        <v>1000×1500mm</v>
      </c>
      <c r="H116" s="117" t="str">
        <f ca="1"/>
        <v>Q235A</v>
      </c>
      <c r="I116" s="117" t="str">
        <f ca="1"/>
        <v>个</v>
      </c>
      <c r="J116" s="117">
        <f ca="1"/>
        <v>2</v>
      </c>
      <c r="K116" s="117" t="str">
        <f ca="1"/>
        <v>格栅后闸门设备孔盖板</v>
      </c>
    </row>
    <row r="117" spans="1:11" ht="33">
      <c r="A117" s="230"/>
      <c r="B117" s="117" t="str">
        <f ca="1"/>
        <v/>
      </c>
      <c r="C117" s="117"/>
      <c r="D117" s="117" t="str">
        <f ca="1"/>
        <v>工艺材料</v>
      </c>
      <c r="E117" s="117" t="str">
        <f ca="1"/>
        <v>热浸锌钢盖板</v>
      </c>
      <c r="F117" s="117"/>
      <c r="G117" s="198" t="str">
        <f ca="1"/>
        <v>3540×1500mm</v>
      </c>
      <c r="H117" s="117" t="str">
        <f ca="1"/>
        <v>Q235A</v>
      </c>
      <c r="I117" s="117" t="str">
        <f ca="1"/>
        <v>个</v>
      </c>
      <c r="J117" s="117">
        <f ca="1"/>
        <v>2</v>
      </c>
      <c r="K117" s="117" t="str">
        <f ca="1"/>
        <v>格栅前设备孔盖板</v>
      </c>
    </row>
    <row r="118" spans="1:11">
      <c r="A118" s="230"/>
      <c r="B118" s="117" t="str">
        <f ca="1"/>
        <v/>
      </c>
      <c r="C118" s="117"/>
      <c r="D118" s="117" t="str">
        <f ca="1"/>
        <v>电气设备</v>
      </c>
      <c r="E118" s="117" t="str">
        <f ca="1"/>
        <v/>
      </c>
      <c r="F118" s="117"/>
      <c r="G118" s="198" t="str">
        <f ca="1"/>
        <v/>
      </c>
      <c r="H118" s="117" t="str">
        <f ca="1"/>
        <v/>
      </c>
      <c r="I118" s="117" t="str">
        <f ca="1"/>
        <v>—</v>
      </c>
      <c r="J118" s="117" t="str">
        <f ca="1"/>
        <v>—</v>
      </c>
      <c r="K118" s="117" t="str">
        <f ca="1"/>
        <v/>
      </c>
    </row>
    <row r="119" spans="1:11" ht="49.5">
      <c r="A119" s="230"/>
      <c r="B119" s="117" t="str">
        <f ca="1"/>
        <v/>
      </c>
      <c r="C119" s="117"/>
      <c r="D119" s="117" t="str">
        <f ca="1"/>
        <v>仪表</v>
      </c>
      <c r="E119" s="117" t="str">
        <f ca="1"/>
        <v>液位差计</v>
      </c>
      <c r="F119" s="117"/>
      <c r="G119" s="198" t="str">
        <f ca="1"/>
        <v>测量范围：0-5m</v>
      </c>
      <c r="H119" s="117" t="str">
        <f ca="1"/>
        <v/>
      </c>
      <c r="I119" s="117" t="str">
        <f ca="1"/>
        <v>台</v>
      </c>
      <c r="J119" s="117">
        <f ca="1"/>
        <v>2</v>
      </c>
      <c r="K119" s="117" t="str">
        <f ca="1"/>
        <v>安装位置在格栅渠前、后</v>
      </c>
    </row>
    <row r="120" spans="1:11">
      <c r="A120" s="241" t="s">
        <v>442</v>
      </c>
      <c r="B120" s="242"/>
      <c r="C120" s="242"/>
      <c r="D120" s="242"/>
      <c r="E120" s="242"/>
      <c r="F120" s="242"/>
      <c r="G120" s="242"/>
      <c r="H120" s="242"/>
      <c r="I120" s="242"/>
      <c r="J120" s="242"/>
      <c r="K120" s="243"/>
    </row>
    <row r="121" spans="1:11">
      <c r="A121" s="114" t="s">
        <v>136</v>
      </c>
      <c r="B121" s="114" t="s">
        <v>137</v>
      </c>
      <c r="C121" s="114"/>
      <c r="D121" s="114" t="s">
        <v>138</v>
      </c>
      <c r="E121" s="114" t="s">
        <v>139</v>
      </c>
      <c r="F121" s="114" t="s">
        <v>130</v>
      </c>
      <c r="G121" s="114" t="s">
        <v>131</v>
      </c>
      <c r="H121" s="115" t="s">
        <v>132</v>
      </c>
      <c r="I121" s="114" t="s">
        <v>140</v>
      </c>
      <c r="J121" s="114" t="s">
        <v>134</v>
      </c>
      <c r="K121" s="116" t="s">
        <v>141</v>
      </c>
    </row>
    <row r="122" spans="1:11" ht="115.5">
      <c r="A122" s="230" t="str">
        <f ca="1">IF(COUNTIF(最终型号,"ZDY*")=1,最终型号,"见标准模块设备配置清单")</f>
        <v>见标准模块设备配置清单</v>
      </c>
      <c r="B122" s="118"/>
      <c r="C122" s="118"/>
      <c r="D122" s="119" t="s">
        <v>142</v>
      </c>
      <c r="E122" s="119" t="s">
        <v>300</v>
      </c>
      <c r="F122" s="119"/>
      <c r="G122" s="118" t="str">
        <f ca="1">CONCATENATE("洞口尺寸",格栅前过水孔G1宽,"×",格栅前过水孔G1高,"mm,N=",栅前电动附壁闸门功率,"kW，提升高度",栅前闸门提升高度,"m,洞口底部距池顶",过水孔G1底部距池顶高度,"m，双向承压，附壁式安装，单向升杆")</f>
        <v>洞口尺寸1000×1000mm,N=0.75kW，提升高度1.2m,洞口底部距池顶7.3m，双向承压，附壁式安装，单向升杆</v>
      </c>
      <c r="H122" s="119"/>
      <c r="I122" s="120" t="s">
        <v>144</v>
      </c>
      <c r="J122" s="119">
        <f>1*渠道数量</f>
        <v>2</v>
      </c>
      <c r="K122" s="121" t="s">
        <v>303</v>
      </c>
    </row>
    <row r="123" spans="1:11" ht="115.5">
      <c r="A123" s="230"/>
      <c r="B123" s="118"/>
      <c r="C123" s="118"/>
      <c r="D123" s="119" t="s">
        <v>142</v>
      </c>
      <c r="E123" s="179" t="str">
        <f ca="1">格栅类型</f>
        <v>钢丝绳牵引式粗格栅机</v>
      </c>
      <c r="F123" s="119"/>
      <c r="G123" s="118" t="str">
        <f ca="1">CONCATENATE("渠宽B=",单格渠道宽度B,"m，设备宽度",格栅宽度,"m，渠深",进水井深度_渠深_H,"m，安装角度α=",格栅安装角度,"°，栅前水深h=",栅前工作水深,"m，栅隙b=",栅条间隙b,"mm，N=",格栅机功率,"kW")</f>
        <v>渠宽B=1.5m，设备宽度1400m，渠深7.6m，安装角度α=75°，栅前水深h=0.9m，栅隙b=15mm，N=2.2kW</v>
      </c>
      <c r="H123" s="119" t="s">
        <v>143</v>
      </c>
      <c r="I123" s="120" t="s">
        <v>144</v>
      </c>
      <c r="J123" s="119">
        <f>1*渠道数量</f>
        <v>2</v>
      </c>
      <c r="K123" s="121" t="s">
        <v>313</v>
      </c>
    </row>
    <row r="124" spans="1:11" ht="82.5">
      <c r="A124" s="230"/>
      <c r="B124" s="118"/>
      <c r="C124" s="118"/>
      <c r="D124" s="119" t="s">
        <v>142</v>
      </c>
      <c r="E124" s="119" t="s">
        <v>291</v>
      </c>
      <c r="F124" s="119"/>
      <c r="G124" s="118" t="str">
        <f ca="1">CONCATENATE("宽度B=",皮带输送机宽度,"mm，长度L=",皮带输送长度,"m，皮带上表面距平台高度",皮带上表面距平台高度,"m（与格栅机配套），N=",皮带输送机功率,"kW")</f>
        <v>宽度B=600mm，长度L=4.7m，皮带上表面距平台高度1m（与格栅机配套），N=1.5kW</v>
      </c>
      <c r="H124" s="119" t="s">
        <v>143</v>
      </c>
      <c r="I124" s="120" t="s">
        <v>144</v>
      </c>
      <c r="J124" s="119">
        <v>1</v>
      </c>
      <c r="K124" s="121" t="s">
        <v>304</v>
      </c>
    </row>
    <row r="125" spans="1:11">
      <c r="A125" s="230"/>
      <c r="B125" s="118"/>
      <c r="C125" s="118"/>
      <c r="D125" s="119" t="s">
        <v>142</v>
      </c>
      <c r="E125" s="119" t="s">
        <v>145</v>
      </c>
      <c r="F125" s="119"/>
      <c r="G125" s="118" t="str">
        <f ca="1">CONCATENATE("有效容积",栅渣小车容积,"m3")</f>
        <v>有效容积0.25m3</v>
      </c>
      <c r="H125" s="119" t="s">
        <v>146</v>
      </c>
      <c r="I125" s="120" t="s">
        <v>144</v>
      </c>
      <c r="J125" s="119">
        <v>1</v>
      </c>
      <c r="K125" s="121"/>
    </row>
    <row r="126" spans="1:11" ht="115.5">
      <c r="A126" s="230"/>
      <c r="B126" s="118"/>
      <c r="C126" s="118"/>
      <c r="D126" s="119" t="s">
        <v>142</v>
      </c>
      <c r="E126" s="119" t="s">
        <v>300</v>
      </c>
      <c r="F126" s="119"/>
      <c r="G126" s="118" t="str">
        <f ca="1">CONCATENATE("洞口尺寸",格栅后过水孔G2宽,"×",格栅后过水孔G2高,"mm,N=",栅后电动附壁闸门功率,"kW，提升高度",栅后闸门提升高度,"m，洞口底部距池顶",过水孔G2底部距池顶高度,"m，双向承压，附壁式安装，单向升杆")</f>
        <v>洞口尺寸1000×1000mm,N=0.75kW，提升高度1.2m，洞口底部距池顶7.6m，双向承压，附壁式安装，单向升杆</v>
      </c>
      <c r="H126" s="119"/>
      <c r="I126" s="120" t="s">
        <v>144</v>
      </c>
      <c r="J126" s="119">
        <f>1*渠道数量</f>
        <v>2</v>
      </c>
      <c r="K126" s="121" t="s">
        <v>305</v>
      </c>
    </row>
    <row r="127" spans="1:11" ht="66">
      <c r="A127" s="230"/>
      <c r="B127" s="118"/>
      <c r="C127" s="118"/>
      <c r="D127" s="119" t="s">
        <v>147</v>
      </c>
      <c r="E127" s="119" t="s">
        <v>301</v>
      </c>
      <c r="F127" s="119"/>
      <c r="G127" s="118" t="str">
        <f ca="1">CONCATENATE("D",VLOOKUP(污水总进水管管径d1,'辅助-碳钢钢管管径壁厚'!$A$2:$C$26,2,FALSE),"×",VLOOKUP(污水总进水管管径d1,'辅助-碳钢钢管管径壁厚'!$A$2:$C$26,3,FALSE))</f>
        <v>D1220×10</v>
      </c>
      <c r="H127" s="119" t="s">
        <v>148</v>
      </c>
      <c r="I127" s="120" t="s">
        <v>306</v>
      </c>
      <c r="J127" s="119">
        <v>2</v>
      </c>
      <c r="K127" s="121" t="s">
        <v>307</v>
      </c>
    </row>
    <row r="128" spans="1:11" ht="66">
      <c r="A128" s="230"/>
      <c r="B128" s="118"/>
      <c r="C128" s="118"/>
      <c r="D128" s="119" t="s">
        <v>147</v>
      </c>
      <c r="E128" s="119" t="s">
        <v>301</v>
      </c>
      <c r="F128" s="119"/>
      <c r="G128" s="118" t="str">
        <f ca="1">CONCATENATE("D",VLOOKUP(厂区排水进水管管径d2,'辅助-碳钢钢管管径壁厚'!$A$2:$C$26,2,FALSE),"×",VLOOKUP(厂区排水进水管管径d2,'辅助-碳钢钢管管径壁厚'!$A$2:$C$26,3,FALSE))</f>
        <v>D530×9</v>
      </c>
      <c r="H128" s="119" t="s">
        <v>148</v>
      </c>
      <c r="I128" s="120" t="s">
        <v>306</v>
      </c>
      <c r="J128" s="119">
        <v>2</v>
      </c>
      <c r="K128" s="121" t="s">
        <v>308</v>
      </c>
    </row>
    <row r="129" spans="1:11">
      <c r="A129" s="230"/>
      <c r="B129" s="118"/>
      <c r="C129" s="118"/>
      <c r="D129" s="119" t="s">
        <v>147</v>
      </c>
      <c r="E129" s="119" t="s">
        <v>149</v>
      </c>
      <c r="F129" s="119"/>
      <c r="G129" s="118" t="str">
        <f ca="1">CONCATENATE("DN",污水总进水管管径d1)</f>
        <v>DN1200</v>
      </c>
      <c r="H129" s="119" t="s">
        <v>148</v>
      </c>
      <c r="I129" s="120" t="s">
        <v>150</v>
      </c>
      <c r="J129" s="119">
        <v>1</v>
      </c>
      <c r="K129" s="121"/>
    </row>
    <row r="130" spans="1:11">
      <c r="A130" s="230"/>
      <c r="B130" s="118"/>
      <c r="C130" s="118"/>
      <c r="D130" s="119" t="s">
        <v>147</v>
      </c>
      <c r="E130" s="119" t="s">
        <v>149</v>
      </c>
      <c r="F130" s="119"/>
      <c r="G130" s="118" t="str">
        <f ca="1">CONCATENATE("DN",厂区排水进水管管径d2)</f>
        <v>DN500</v>
      </c>
      <c r="H130" s="119" t="s">
        <v>148</v>
      </c>
      <c r="I130" s="120" t="s">
        <v>150</v>
      </c>
      <c r="J130" s="119">
        <v>1</v>
      </c>
      <c r="K130" s="121"/>
    </row>
    <row r="131" spans="1:11" ht="33">
      <c r="A131" s="230"/>
      <c r="B131" s="118"/>
      <c r="C131" s="118"/>
      <c r="D131" s="119" t="s">
        <v>147</v>
      </c>
      <c r="E131" s="119" t="s">
        <v>333</v>
      </c>
      <c r="F131" s="119"/>
      <c r="G131" s="118" t="str">
        <f ca="1">CONCATENATE(IF(进水井长度L1&gt;=2.2,"1000mm","800"),"×",IF(格栅前过水孔G1宽+200&lt;1000,1000,格栅前过水孔G1宽+200),"mm")</f>
        <v>800×1200mm</v>
      </c>
      <c r="H131" s="119" t="s">
        <v>148</v>
      </c>
      <c r="I131" s="120" t="s">
        <v>150</v>
      </c>
      <c r="J131" s="119">
        <f>2*(渠道数量-1)</f>
        <v>2</v>
      </c>
      <c r="K131" s="121" t="s">
        <v>378</v>
      </c>
    </row>
    <row r="132" spans="1:11" ht="33">
      <c r="A132" s="230"/>
      <c r="B132" s="118"/>
      <c r="C132" s="118"/>
      <c r="D132" s="119" t="s">
        <v>147</v>
      </c>
      <c r="E132" s="119" t="s">
        <v>151</v>
      </c>
      <c r="F132" s="119"/>
      <c r="G132" s="118" t="str">
        <f ca="1">CONCATENATE("1000×",单格渠道宽度B,"mm")</f>
        <v>1000×1.5mm</v>
      </c>
      <c r="H132" s="119" t="s">
        <v>148</v>
      </c>
      <c r="I132" s="120" t="s">
        <v>150</v>
      </c>
      <c r="J132" s="119">
        <f>1*渠道数量</f>
        <v>2</v>
      </c>
      <c r="K132" s="121" t="s">
        <v>309</v>
      </c>
    </row>
    <row r="133" spans="1:11" ht="33">
      <c r="A133" s="230"/>
      <c r="B133" s="118"/>
      <c r="C133" s="118"/>
      <c r="D133" s="119" t="s">
        <v>147</v>
      </c>
      <c r="E133" s="119" t="s">
        <v>151</v>
      </c>
      <c r="F133" s="119"/>
      <c r="G133" s="118" t="str">
        <f ca="1">CONCATENATE((格栅渠预留检修空间长度L2+格栅水平投影长度L3)*1000,"×",单格渠道宽度B,"mm")</f>
        <v>3540×1.5mm</v>
      </c>
      <c r="H133" s="119" t="s">
        <v>148</v>
      </c>
      <c r="I133" s="120" t="s">
        <v>150</v>
      </c>
      <c r="J133" s="119">
        <f>1*渠道数量</f>
        <v>2</v>
      </c>
      <c r="K133" s="121" t="s">
        <v>310</v>
      </c>
    </row>
    <row r="134" spans="1:11">
      <c r="A134" s="230"/>
      <c r="B134" s="118"/>
      <c r="C134" s="118"/>
      <c r="D134" s="119" t="s">
        <v>153</v>
      </c>
      <c r="E134" s="119" t="s">
        <v>292</v>
      </c>
      <c r="F134" s="119"/>
      <c r="G134" s="118"/>
      <c r="H134" s="118"/>
      <c r="I134" s="120" t="s">
        <v>311</v>
      </c>
      <c r="J134" s="119" t="s">
        <v>311</v>
      </c>
      <c r="K134" s="121"/>
    </row>
    <row r="135" spans="1:11" ht="49.5">
      <c r="A135" s="230"/>
      <c r="B135" s="118"/>
      <c r="C135" s="118"/>
      <c r="D135" s="119" t="s">
        <v>154</v>
      </c>
      <c r="E135" s="119" t="s">
        <v>155</v>
      </c>
      <c r="F135" s="119"/>
      <c r="G135" s="118" t="s">
        <v>293</v>
      </c>
      <c r="H135" s="118"/>
      <c r="I135" s="120" t="s">
        <v>144</v>
      </c>
      <c r="J135" s="119">
        <f>1*渠道数量</f>
        <v>2</v>
      </c>
      <c r="K135" s="121" t="s">
        <v>312</v>
      </c>
    </row>
    <row r="157" spans="8:8">
      <c r="H157" s="45"/>
    </row>
    <row r="158" spans="8:8">
      <c r="H158" s="45"/>
    </row>
    <row r="159" spans="8:8">
      <c r="H159" s="45"/>
    </row>
    <row r="160" spans="8:8">
      <c r="H160" s="45"/>
    </row>
    <row r="161" spans="8:8">
      <c r="H161" s="45"/>
    </row>
    <row r="162" spans="8:8">
      <c r="H162" s="45"/>
    </row>
    <row r="163" spans="8:8">
      <c r="H163" s="45"/>
    </row>
    <row r="164" spans="8:8">
      <c r="H164" s="45"/>
    </row>
    <row r="165" spans="8:8">
      <c r="H165" s="45"/>
    </row>
    <row r="166" spans="8:8">
      <c r="H166" s="45"/>
    </row>
    <row r="167" spans="8:8">
      <c r="H167" s="45"/>
    </row>
    <row r="168" spans="8:8">
      <c r="H168" s="45"/>
    </row>
    <row r="169" spans="8:8">
      <c r="H169" s="45"/>
    </row>
    <row r="170" spans="8:8">
      <c r="H170" s="45"/>
    </row>
    <row r="171" spans="8:8">
      <c r="H171" s="45"/>
    </row>
    <row r="172" spans="8:8">
      <c r="H172" s="45"/>
    </row>
    <row r="173" spans="8:8">
      <c r="H173" s="45"/>
    </row>
    <row r="174" spans="8:8">
      <c r="H174" s="45"/>
    </row>
    <row r="175" spans="8:8">
      <c r="H175" s="45"/>
    </row>
    <row r="176" spans="8:8">
      <c r="H176" s="45"/>
    </row>
  </sheetData>
  <mergeCells count="15">
    <mergeCell ref="I61:I62"/>
    <mergeCell ref="A122:A135"/>
    <mergeCell ref="A1:E1"/>
    <mergeCell ref="F1:K1"/>
    <mergeCell ref="A2:K2"/>
    <mergeCell ref="A12:K12"/>
    <mergeCell ref="I14:I17"/>
    <mergeCell ref="A54:K54"/>
    <mergeCell ref="A73:K73"/>
    <mergeCell ref="A82:K82"/>
    <mergeCell ref="A104:K104"/>
    <mergeCell ref="A106:A119"/>
    <mergeCell ref="A120:K120"/>
    <mergeCell ref="I56:I57"/>
    <mergeCell ref="A50:K50"/>
  </mergeCells>
  <phoneticPr fontId="26" type="noConversion"/>
  <dataValidations count="2">
    <dataValidation type="whole" allowBlank="1" showInputMessage="1" showErrorMessage="1" errorTitle="请重新输入" error="流量范围10000m3/d-200000m3/d" sqref="B4">
      <formula1>10000</formula1>
      <formula2>200000</formula2>
    </dataValidation>
    <dataValidation type="whole" operator="greaterThanOrEqual" allowBlank="1" showInputMessage="1" showErrorMessage="1" errorTitle="请重新输入" error="规模30000m3/d，不建议采用曝气沉砂池" sqref="C4">
      <formula1>30000</formula1>
    </dataValidation>
  </dataValidations>
  <pageMargins left="0.7" right="0.7" top="0.75" bottom="0.75" header="0.3" footer="0.3"/>
  <pageSetup paperSize="9" scale="69" fitToHeight="0" orientation="landscape" r:id="rId1"/>
  <ignoredErrors>
    <ignoredError sqref="A98:D9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62FD6293-1896-4E0D-82F5-7E8037C533DE}">
            <x14:iconSet iconSet="3Symbols2" custom="1">
              <x14:cfvo type="percent">
                <xm:f>0</xm:f>
              </x14:cfvo>
              <x14:cfvo type="num">
                <xm:f>$J$14</xm:f>
              </x14:cfvo>
              <x14:cfvo type="num" gte="0">
                <xm:f>$K$14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G14:G17</xm:sqref>
        </x14:conditionalFormatting>
        <x14:conditionalFormatting xmlns:xm="http://schemas.microsoft.com/office/excel/2006/main">
          <x14:cfRule type="iconSet" priority="7" id="{577D12C3-FB13-4171-A1A6-A315CE0CF70F}">
            <x14:iconSet iconSet="3Symbols2" custom="1">
              <x14:cfvo type="percent">
                <xm:f>0</xm:f>
              </x14:cfvo>
              <x14:cfvo type="num">
                <xm:f>$J$57</xm:f>
              </x14:cfvo>
              <x14:cfvo type="num" gte="0">
                <xm:f>$K$57</xm:f>
              </x14:cfvo>
              <x14:cfIcon iconSet="3Symbols" iconId="0"/>
              <x14:cfIcon iconSet="NoIcons" iconId="0"/>
              <x14:cfIcon iconSet="3Symbols" iconId="0"/>
            </x14:iconSet>
          </x14:cfRule>
          <xm:sqref>G57</xm:sqref>
        </x14:conditionalFormatting>
        <x14:conditionalFormatting xmlns:xm="http://schemas.microsoft.com/office/excel/2006/main">
          <x14:cfRule type="iconSet" priority="6" id="{A7A69F2A-80CF-4592-9CFB-8517EDCCCE1E}">
            <x14:iconSet iconSet="3Symbols2" custom="1">
              <x14:cfvo type="percent">
                <xm:f>0</xm:f>
              </x14:cfvo>
              <x14:cfvo type="num">
                <xm:f>$J$56</xm:f>
              </x14:cfvo>
              <x14:cfvo type="num" gte="0">
                <xm:f>$K$56</xm:f>
              </x14:cfvo>
              <x14:cfIcon iconSet="3Symbols" iconId="0"/>
              <x14:cfIcon iconSet="NoIcons" iconId="0"/>
              <x14:cfIcon iconSet="3Symbols" iconId="0"/>
            </x14:iconSet>
          </x14:cfRule>
          <xm:sqref>G56</xm:sqref>
        </x14:conditionalFormatting>
        <x14:conditionalFormatting xmlns:xm="http://schemas.microsoft.com/office/excel/2006/main">
          <x14:cfRule type="iconSet" priority="4" id="{EFADC17A-DB59-49A3-881B-FFB2A5DBACA6}">
            <x14:iconSet iconSet="3Symbols2" custom="1">
              <x14:cfvo type="percent">
                <xm:f>0</xm:f>
              </x14:cfvo>
              <x14:cfvo type="num">
                <xm:f>$J$62</xm:f>
              </x14:cfvo>
              <x14:cfvo type="num" gte="0">
                <xm:f>$K$62</xm:f>
              </x14:cfvo>
              <x14:cfIcon iconSet="3Symbols" iconId="0"/>
              <x14:cfIcon iconSet="NoIcons" iconId="0"/>
              <x14:cfIcon iconSet="3Symbols" iconId="0"/>
            </x14:iconSet>
          </x14:cfRule>
          <xm:sqref>G62</xm:sqref>
        </x14:conditionalFormatting>
        <x14:conditionalFormatting xmlns:xm="http://schemas.microsoft.com/office/excel/2006/main">
          <x14:cfRule type="iconSet" priority="3" id="{0C209C59-56E5-4A9E-810D-A8F1F4268205}">
            <x14:iconSet iconSet="3Symbols2" custom="1">
              <x14:cfvo type="percent">
                <xm:f>0</xm:f>
              </x14:cfvo>
              <x14:cfvo type="num">
                <xm:f>$J$61</xm:f>
              </x14:cfvo>
              <x14:cfvo type="num" gte="0">
                <xm:f>$K$61</xm:f>
              </x14:cfvo>
              <x14:cfIcon iconSet="3Symbols" iconId="0"/>
              <x14:cfIcon iconSet="NoIcons" iconId="0"/>
              <x14:cfIcon iconSet="3Symbols" iconId="0"/>
            </x14:iconSet>
          </x14:cfRule>
          <xm:sqref>G61</xm:sqref>
        </x14:conditionalFormatting>
        <x14:conditionalFormatting xmlns:xm="http://schemas.microsoft.com/office/excel/2006/main">
          <x14:cfRule type="iconSet" priority="14" id="{5634DC1E-CE02-4F1C-B226-8C787C73173C}">
            <x14:iconSet iconSet="3Symbols2" custom="1">
              <x14:cfvo type="percent">
                <xm:f>0</xm:f>
              </x14:cfvo>
              <x14:cfvo type="num">
                <xm:f>$J$75</xm:f>
              </x14:cfvo>
              <x14:cfvo type="num" gte="0">
                <xm:f>9999</xm:f>
              </x14:cfvo>
              <x14:cfIcon iconSet="3Symbols" iconId="0"/>
              <x14:cfIcon iconSet="NoIcons" iconId="0"/>
              <x14:cfIcon iconSet="NoIcons" iconId="0"/>
            </x14:iconSet>
          </x14:cfRule>
          <xm:sqref>G80</xm:sqref>
        </x14:conditionalFormatting>
        <x14:conditionalFormatting xmlns:xm="http://schemas.microsoft.com/office/excel/2006/main">
          <x14:cfRule type="iconSet" priority="2" id="{484885B1-65F3-4167-888E-E036153F8CA4}">
            <x14:iconSet iconSet="3Symbols2" custom="1">
              <x14:cfvo type="percent">
                <xm:f>0</xm:f>
              </x14:cfvo>
              <x14:cfvo type="num">
                <xm:f>$J$75</xm:f>
              </x14:cfvo>
              <x14:cfvo type="num" gte="0">
                <xm:f>$K$75</xm:f>
              </x14:cfvo>
              <x14:cfIcon iconSet="3Symbols" iconId="0"/>
              <x14:cfIcon iconSet="NoIcons" iconId="0"/>
              <x14:cfIcon iconSet="3Symbols" iconId="0"/>
            </x14:iconSet>
          </x14:cfRule>
          <xm:sqref>G75</xm:sqref>
        </x14:conditionalFormatting>
        <x14:conditionalFormatting xmlns:xm="http://schemas.microsoft.com/office/excel/2006/main">
          <x14:cfRule type="iconSet" priority="1" id="{D7802025-05DE-463D-A9A2-44C118132694}">
            <x14:iconSet iconSet="3Symbols2" custom="1">
              <x14:cfvo type="percent">
                <xm:f>0</xm:f>
              </x14:cfvo>
              <x14:cfvo type="num">
                <xm:f>$J$76</xm:f>
              </x14:cfvo>
              <x14:cfvo type="num" gte="0">
                <xm:f>99999</xm:f>
              </x14:cfvo>
              <x14:cfIcon iconSet="3Symbols" iconId="0"/>
              <x14:cfIcon iconSet="NoIcons" iconId="0"/>
              <x14:cfIcon iconSet="NoIcons" iconId="0"/>
            </x14:iconSet>
          </x14:cfRule>
          <xm:sqref>G76:G77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'辅助-无压圆管水力计算'!$A$66:$A$68</xm:f>
          </x14:formula1>
          <xm:sqref>B75:C75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1"/>
  <sheetViews>
    <sheetView zoomScale="90" zoomScaleNormal="90" workbookViewId="0">
      <pane xSplit="2" ySplit="2" topLeftCell="C3" activePane="bottomRight" state="frozen"/>
      <selection activeCell="G132" sqref="G132"/>
      <selection pane="topRight" activeCell="G132" sqref="G132"/>
      <selection pane="bottomLeft" activeCell="G132" sqref="G132"/>
      <selection pane="bottomRight" activeCell="A2" sqref="A2"/>
    </sheetView>
  </sheetViews>
  <sheetFormatPr defaultColWidth="9" defaultRowHeight="16.5"/>
  <cols>
    <col min="1" max="1" width="27.875" style="126" bestFit="1" customWidth="1" collapsed="1"/>
    <col min="2" max="2" width="9" style="134" collapsed="1"/>
    <col min="3" max="4" width="18.875" style="126" bestFit="1" customWidth="1" collapsed="1"/>
    <col min="5" max="5" width="21.625" style="126" bestFit="1" customWidth="1" collapsed="1"/>
    <col min="6" max="15" width="18.875" style="126" bestFit="1" customWidth="1" collapsed="1"/>
    <col min="16" max="16" width="18.875" style="126" customWidth="1" collapsed="1"/>
    <col min="17" max="17" width="18.875" style="126" bestFit="1" customWidth="1" collapsed="1"/>
    <col min="18" max="16384" width="9" style="126" collapsed="1"/>
  </cols>
  <sheetData>
    <row r="1" spans="1:17">
      <c r="A1" s="122" t="s">
        <v>156</v>
      </c>
      <c r="B1" s="123"/>
      <c r="C1" s="124">
        <v>20000</v>
      </c>
      <c r="D1" s="125">
        <v>30000</v>
      </c>
      <c r="E1" s="125">
        <v>40000</v>
      </c>
      <c r="F1" s="125">
        <v>50000</v>
      </c>
      <c r="G1" s="125">
        <v>60000</v>
      </c>
      <c r="H1" s="125">
        <v>70000</v>
      </c>
      <c r="I1" s="125">
        <v>80000</v>
      </c>
      <c r="J1" s="125">
        <v>90000</v>
      </c>
      <c r="K1" s="125">
        <v>100000</v>
      </c>
      <c r="L1" s="125">
        <v>120000</v>
      </c>
      <c r="M1" s="125">
        <v>140000</v>
      </c>
      <c r="N1" s="125">
        <v>150000</v>
      </c>
      <c r="O1" s="125">
        <v>160000</v>
      </c>
      <c r="P1" s="125">
        <v>180000</v>
      </c>
      <c r="Q1" s="125">
        <v>200000</v>
      </c>
    </row>
    <row r="2" spans="1:17" s="129" customFormat="1">
      <c r="A2" s="127" t="s">
        <v>413</v>
      </c>
      <c r="B2" s="123"/>
      <c r="C2" s="128" t="str">
        <f>CONCATENATE("BE-CGS-HZ-",C1/10000,"-",C5/1000)</f>
        <v>BE-CGS-HZ-2-0.8</v>
      </c>
      <c r="D2" s="128" t="str">
        <f>CONCATENATE("BE-CGS-HZ-",D1/10000,"-",D5/1000)</f>
        <v>BE-CGS-HZ-3-1</v>
      </c>
      <c r="E2" s="128" t="str">
        <f>CONCATENATE("BE-CGS-SS-",E1/10000,"-",E5/1000)</f>
        <v>BE-CGS-SS-4-1.2</v>
      </c>
      <c r="F2" s="128" t="str">
        <f t="shared" ref="F2:Q2" si="0">CONCATENATE("BE-CGS-SS-",F1/10000,"-",F5/1000)</f>
        <v>BE-CGS-SS-5-1.2</v>
      </c>
      <c r="G2" s="128" t="str">
        <f t="shared" si="0"/>
        <v>BE-CGS-SS-6-1.4</v>
      </c>
      <c r="H2" s="128" t="str">
        <f t="shared" si="0"/>
        <v>BE-CGS-SS-7-1</v>
      </c>
      <c r="I2" s="128" t="str">
        <f t="shared" si="0"/>
        <v>BE-CGS-SS-8-1</v>
      </c>
      <c r="J2" s="128" t="str">
        <f t="shared" si="0"/>
        <v>BE-CGS-SS-9-1.2</v>
      </c>
      <c r="K2" s="128" t="str">
        <f t="shared" si="0"/>
        <v>BE-CGS-SS-10-1.2</v>
      </c>
      <c r="L2" s="128" t="str">
        <f t="shared" si="0"/>
        <v>BE-CGS-SS-12-1.4</v>
      </c>
      <c r="M2" s="128" t="str">
        <f t="shared" si="0"/>
        <v>BE-CGS-SS-14-1.2</v>
      </c>
      <c r="N2" s="128" t="str">
        <f t="shared" si="0"/>
        <v>BE-CGS-SS-15-1.2</v>
      </c>
      <c r="O2" s="128" t="str">
        <f t="shared" si="0"/>
        <v>BE-CGS-SS-16-1.2</v>
      </c>
      <c r="P2" s="128" t="str">
        <f t="shared" si="0"/>
        <v>BE-CGS-SS-18-1.4</v>
      </c>
      <c r="Q2" s="128" t="str">
        <f t="shared" si="0"/>
        <v>BE-CGS-SS-20-1.4</v>
      </c>
    </row>
    <row r="3" spans="1:17">
      <c r="A3" s="122" t="s">
        <v>157</v>
      </c>
      <c r="B3" s="123"/>
      <c r="C3" s="124">
        <v>2</v>
      </c>
      <c r="D3" s="125">
        <v>2</v>
      </c>
      <c r="E3" s="125">
        <v>2</v>
      </c>
      <c r="F3" s="125">
        <v>2</v>
      </c>
      <c r="G3" s="125">
        <v>2</v>
      </c>
      <c r="H3" s="125">
        <v>3</v>
      </c>
      <c r="I3" s="125">
        <v>3</v>
      </c>
      <c r="J3" s="125">
        <v>3</v>
      </c>
      <c r="K3" s="125">
        <v>3</v>
      </c>
      <c r="L3" s="125">
        <v>3</v>
      </c>
      <c r="M3" s="125">
        <v>4</v>
      </c>
      <c r="N3" s="125">
        <v>4</v>
      </c>
      <c r="O3" s="125">
        <v>4</v>
      </c>
      <c r="P3" s="125">
        <v>4</v>
      </c>
      <c r="Q3" s="125">
        <v>4</v>
      </c>
    </row>
    <row r="4" spans="1:17">
      <c r="A4" s="122" t="s">
        <v>287</v>
      </c>
      <c r="B4" s="123"/>
      <c r="C4" s="124" t="s">
        <v>288</v>
      </c>
      <c r="D4" s="124" t="s">
        <v>288</v>
      </c>
      <c r="E4" s="125" t="s">
        <v>77</v>
      </c>
      <c r="F4" s="125" t="s">
        <v>77</v>
      </c>
      <c r="G4" s="125" t="s">
        <v>77</v>
      </c>
      <c r="H4" s="125" t="s">
        <v>77</v>
      </c>
      <c r="I4" s="125" t="s">
        <v>77</v>
      </c>
      <c r="J4" s="125" t="s">
        <v>77</v>
      </c>
      <c r="K4" s="125" t="s">
        <v>77</v>
      </c>
      <c r="L4" s="125" t="s">
        <v>77</v>
      </c>
      <c r="M4" s="125" t="s">
        <v>77</v>
      </c>
      <c r="N4" s="125" t="s">
        <v>77</v>
      </c>
      <c r="O4" s="125" t="s">
        <v>77</v>
      </c>
      <c r="P4" s="125" t="s">
        <v>77</v>
      </c>
      <c r="Q4" s="125" t="s">
        <v>77</v>
      </c>
    </row>
    <row r="5" spans="1:17">
      <c r="A5" s="122" t="s">
        <v>114</v>
      </c>
      <c r="B5" s="123" t="s">
        <v>4</v>
      </c>
      <c r="C5" s="143">
        <v>800</v>
      </c>
      <c r="D5" s="143">
        <v>1000</v>
      </c>
      <c r="E5" s="143">
        <v>1200</v>
      </c>
      <c r="F5" s="143">
        <v>1200</v>
      </c>
      <c r="G5" s="143">
        <v>1400</v>
      </c>
      <c r="H5" s="143">
        <v>1000</v>
      </c>
      <c r="I5" s="143">
        <v>1000</v>
      </c>
      <c r="J5" s="143">
        <v>1200</v>
      </c>
      <c r="K5" s="143">
        <v>1200</v>
      </c>
      <c r="L5" s="143">
        <v>1400</v>
      </c>
      <c r="M5" s="143">
        <v>1200</v>
      </c>
      <c r="N5" s="143">
        <v>1200</v>
      </c>
      <c r="O5" s="143">
        <v>1200</v>
      </c>
      <c r="P5" s="143">
        <v>1400</v>
      </c>
      <c r="Q5" s="143">
        <v>1400</v>
      </c>
    </row>
    <row r="6" spans="1:17">
      <c r="A6" s="122" t="s">
        <v>117</v>
      </c>
      <c r="B6" s="123" t="s">
        <v>6</v>
      </c>
      <c r="C6" s="143">
        <v>0.1</v>
      </c>
      <c r="D6" s="143">
        <v>0.1</v>
      </c>
      <c r="E6" s="143">
        <v>0.1</v>
      </c>
      <c r="F6" s="143">
        <v>0.1</v>
      </c>
      <c r="G6" s="143">
        <v>0.1</v>
      </c>
      <c r="H6" s="143">
        <v>0.1</v>
      </c>
      <c r="I6" s="143">
        <v>0.1</v>
      </c>
      <c r="J6" s="143">
        <v>0.1</v>
      </c>
      <c r="K6" s="143">
        <v>0.1</v>
      </c>
      <c r="L6" s="143">
        <v>0.1</v>
      </c>
      <c r="M6" s="143">
        <v>0.1</v>
      </c>
      <c r="N6" s="143">
        <v>0.1</v>
      </c>
      <c r="O6" s="143">
        <v>0.1</v>
      </c>
      <c r="P6" s="143">
        <v>0.1</v>
      </c>
      <c r="Q6" s="143">
        <v>0.1</v>
      </c>
    </row>
    <row r="7" spans="1:17">
      <c r="A7" s="122" t="s">
        <v>119</v>
      </c>
      <c r="B7" s="123" t="s">
        <v>6</v>
      </c>
      <c r="C7" s="143">
        <v>0.6</v>
      </c>
      <c r="D7" s="143">
        <v>0.6</v>
      </c>
      <c r="E7" s="143">
        <v>0.6</v>
      </c>
      <c r="F7" s="143">
        <v>0.6</v>
      </c>
      <c r="G7" s="143">
        <v>0.6</v>
      </c>
      <c r="H7" s="143">
        <v>0.6</v>
      </c>
      <c r="I7" s="143">
        <v>0.6</v>
      </c>
      <c r="J7" s="143">
        <v>0.6</v>
      </c>
      <c r="K7" s="143">
        <v>0.6</v>
      </c>
      <c r="L7" s="143">
        <v>0.6</v>
      </c>
      <c r="M7" s="143">
        <v>0.6</v>
      </c>
      <c r="N7" s="143">
        <v>0.6</v>
      </c>
      <c r="O7" s="143">
        <v>0.6</v>
      </c>
      <c r="P7" s="143">
        <v>0.6</v>
      </c>
      <c r="Q7" s="143">
        <v>0.6</v>
      </c>
    </row>
    <row r="8" spans="1:17">
      <c r="A8" s="122" t="s">
        <v>424</v>
      </c>
      <c r="B8" s="123" t="s">
        <v>6</v>
      </c>
      <c r="C8" s="143">
        <v>0.6</v>
      </c>
      <c r="D8" s="143">
        <v>0.6</v>
      </c>
      <c r="E8" s="143">
        <v>0.6</v>
      </c>
      <c r="F8" s="143">
        <v>0.6</v>
      </c>
      <c r="G8" s="143">
        <v>0.6</v>
      </c>
      <c r="H8" s="143">
        <v>0.6</v>
      </c>
      <c r="I8" s="143">
        <v>0.6</v>
      </c>
      <c r="J8" s="143">
        <v>0.6</v>
      </c>
      <c r="K8" s="143">
        <v>0.6</v>
      </c>
      <c r="L8" s="143">
        <v>0.6</v>
      </c>
      <c r="M8" s="143">
        <v>0.6</v>
      </c>
      <c r="N8" s="143">
        <v>0.6</v>
      </c>
      <c r="O8" s="143">
        <v>0.6</v>
      </c>
      <c r="P8" s="143">
        <v>0.6</v>
      </c>
      <c r="Q8" s="143">
        <v>0.6</v>
      </c>
    </row>
    <row r="9" spans="1:17">
      <c r="A9" s="122" t="s">
        <v>316</v>
      </c>
      <c r="B9" s="123" t="s">
        <v>6</v>
      </c>
      <c r="C9" s="143">
        <v>2</v>
      </c>
      <c r="D9" s="143">
        <v>2</v>
      </c>
      <c r="E9" s="143">
        <v>2</v>
      </c>
      <c r="F9" s="143">
        <v>2</v>
      </c>
      <c r="G9" s="143">
        <v>2</v>
      </c>
      <c r="H9" s="143">
        <v>2</v>
      </c>
      <c r="I9" s="143">
        <v>2</v>
      </c>
      <c r="J9" s="143">
        <v>2</v>
      </c>
      <c r="K9" s="143">
        <v>2</v>
      </c>
      <c r="L9" s="143">
        <v>2.5</v>
      </c>
      <c r="M9" s="143">
        <v>2.5</v>
      </c>
      <c r="N9" s="143">
        <v>2.5</v>
      </c>
      <c r="O9" s="143">
        <v>2.5</v>
      </c>
      <c r="P9" s="143">
        <v>2.5</v>
      </c>
      <c r="Q9" s="143">
        <v>2.5</v>
      </c>
    </row>
    <row r="10" spans="1:17">
      <c r="A10" s="122" t="s">
        <v>82</v>
      </c>
      <c r="B10" s="123" t="s">
        <v>6</v>
      </c>
      <c r="C10" s="143">
        <v>0.5</v>
      </c>
      <c r="D10" s="143">
        <v>0.5</v>
      </c>
      <c r="E10" s="143">
        <v>0.5</v>
      </c>
      <c r="F10" s="143">
        <v>0.5</v>
      </c>
      <c r="G10" s="143">
        <v>0.5</v>
      </c>
      <c r="H10" s="143">
        <v>0.5</v>
      </c>
      <c r="I10" s="143">
        <v>0.5</v>
      </c>
      <c r="J10" s="143">
        <v>0.5</v>
      </c>
      <c r="K10" s="143">
        <v>0.5</v>
      </c>
      <c r="L10" s="143">
        <v>0.5</v>
      </c>
      <c r="M10" s="143">
        <v>0.5</v>
      </c>
      <c r="N10" s="143">
        <v>0.5</v>
      </c>
      <c r="O10" s="143">
        <v>0.5</v>
      </c>
      <c r="P10" s="143">
        <v>0.5</v>
      </c>
      <c r="Q10" s="143">
        <v>0.5</v>
      </c>
    </row>
    <row r="11" spans="1:17">
      <c r="A11" s="122" t="s">
        <v>318</v>
      </c>
      <c r="B11" s="123" t="s">
        <v>6</v>
      </c>
      <c r="C11" s="143">
        <v>1.5</v>
      </c>
      <c r="D11" s="143">
        <v>1.5</v>
      </c>
      <c r="E11" s="143">
        <v>1.5</v>
      </c>
      <c r="F11" s="143">
        <v>1.5</v>
      </c>
      <c r="G11" s="143">
        <v>1.5</v>
      </c>
      <c r="H11" s="143">
        <v>1.5</v>
      </c>
      <c r="I11" s="143">
        <v>1.5</v>
      </c>
      <c r="J11" s="143">
        <v>1.5</v>
      </c>
      <c r="K11" s="143">
        <v>1.5</v>
      </c>
      <c r="L11" s="143">
        <v>1.5</v>
      </c>
      <c r="M11" s="143">
        <v>1.5</v>
      </c>
      <c r="N11" s="143">
        <v>1.5</v>
      </c>
      <c r="O11" s="143">
        <v>1.5</v>
      </c>
      <c r="P11" s="143">
        <v>1.5</v>
      </c>
      <c r="Q11" s="143">
        <v>1.5</v>
      </c>
    </row>
    <row r="12" spans="1:17">
      <c r="A12" s="122" t="s">
        <v>321</v>
      </c>
      <c r="B12" s="123" t="s">
        <v>6</v>
      </c>
      <c r="C12" s="143">
        <v>1.6</v>
      </c>
      <c r="D12" s="143">
        <v>1.6</v>
      </c>
      <c r="E12" s="143">
        <v>1.6</v>
      </c>
      <c r="F12" s="143">
        <v>1.6</v>
      </c>
      <c r="G12" s="143">
        <v>1.6</v>
      </c>
      <c r="H12" s="143">
        <v>1.6</v>
      </c>
      <c r="I12" s="143">
        <v>1.6</v>
      </c>
      <c r="J12" s="143">
        <v>1.6</v>
      </c>
      <c r="K12" s="143">
        <v>1.6</v>
      </c>
      <c r="L12" s="143">
        <v>1.6</v>
      </c>
      <c r="M12" s="143">
        <v>1.6</v>
      </c>
      <c r="N12" s="143">
        <v>1.6</v>
      </c>
      <c r="O12" s="143">
        <v>1.6</v>
      </c>
      <c r="P12" s="143">
        <v>1.6</v>
      </c>
      <c r="Q12" s="143">
        <v>1.6</v>
      </c>
    </row>
    <row r="13" spans="1:17">
      <c r="A13" s="122" t="s">
        <v>430</v>
      </c>
      <c r="B13" s="123" t="s">
        <v>6</v>
      </c>
      <c r="C13" s="143">
        <v>3</v>
      </c>
      <c r="D13" s="143">
        <v>3</v>
      </c>
      <c r="E13" s="143">
        <v>3</v>
      </c>
      <c r="F13" s="143">
        <v>3</v>
      </c>
      <c r="G13" s="143">
        <v>3</v>
      </c>
      <c r="H13" s="143">
        <v>3</v>
      </c>
      <c r="I13" s="143">
        <v>3</v>
      </c>
      <c r="J13" s="143">
        <v>3</v>
      </c>
      <c r="K13" s="143">
        <v>3</v>
      </c>
      <c r="L13" s="143">
        <v>3</v>
      </c>
      <c r="M13" s="143">
        <v>3</v>
      </c>
      <c r="N13" s="143">
        <v>3</v>
      </c>
      <c r="O13" s="143">
        <v>3</v>
      </c>
      <c r="P13" s="143">
        <v>3</v>
      </c>
      <c r="Q13" s="143">
        <v>3</v>
      </c>
    </row>
    <row r="14" spans="1:17">
      <c r="A14" s="122" t="s">
        <v>325</v>
      </c>
      <c r="B14" s="123" t="s">
        <v>6</v>
      </c>
      <c r="C14" s="143">
        <v>0.5</v>
      </c>
      <c r="D14" s="143">
        <v>0.5</v>
      </c>
      <c r="E14" s="143">
        <v>0.5</v>
      </c>
      <c r="F14" s="143">
        <v>0.5</v>
      </c>
      <c r="G14" s="143">
        <v>0.5</v>
      </c>
      <c r="H14" s="143">
        <v>0.5</v>
      </c>
      <c r="I14" s="143">
        <v>0.5</v>
      </c>
      <c r="J14" s="143">
        <v>0.5</v>
      </c>
      <c r="K14" s="143">
        <v>0.5</v>
      </c>
      <c r="L14" s="143">
        <v>0.5</v>
      </c>
      <c r="M14" s="143">
        <v>0.5</v>
      </c>
      <c r="N14" s="143">
        <v>0.5</v>
      </c>
      <c r="O14" s="143">
        <v>0.5</v>
      </c>
      <c r="P14" s="143">
        <v>0.5</v>
      </c>
      <c r="Q14" s="143">
        <v>0.5</v>
      </c>
    </row>
    <row r="15" spans="1:17">
      <c r="A15" s="122" t="s">
        <v>323</v>
      </c>
      <c r="B15" s="123" t="s">
        <v>6</v>
      </c>
      <c r="C15" s="143">
        <v>2</v>
      </c>
      <c r="D15" s="143">
        <v>2</v>
      </c>
      <c r="E15" s="143">
        <v>2</v>
      </c>
      <c r="F15" s="143">
        <v>2</v>
      </c>
      <c r="G15" s="143">
        <v>2</v>
      </c>
      <c r="H15" s="143">
        <v>2</v>
      </c>
      <c r="I15" s="143">
        <v>2</v>
      </c>
      <c r="J15" s="143">
        <v>2</v>
      </c>
      <c r="K15" s="143">
        <v>2</v>
      </c>
      <c r="L15" s="143">
        <v>2</v>
      </c>
      <c r="M15" s="143">
        <v>2</v>
      </c>
      <c r="N15" s="143">
        <v>2</v>
      </c>
      <c r="O15" s="143">
        <v>2</v>
      </c>
      <c r="P15" s="143">
        <v>2</v>
      </c>
      <c r="Q15" s="143">
        <v>2</v>
      </c>
    </row>
    <row r="16" spans="1:17">
      <c r="A16" s="122" t="s">
        <v>107</v>
      </c>
      <c r="B16" s="123" t="s">
        <v>6</v>
      </c>
      <c r="C16" s="143">
        <v>0.6</v>
      </c>
      <c r="D16" s="143">
        <v>0.7</v>
      </c>
      <c r="E16" s="143">
        <v>0.7</v>
      </c>
      <c r="F16" s="143">
        <v>0.8</v>
      </c>
      <c r="G16" s="143">
        <v>0.9</v>
      </c>
      <c r="H16" s="143">
        <v>9</v>
      </c>
      <c r="I16" s="143">
        <v>1</v>
      </c>
      <c r="J16" s="143">
        <v>1</v>
      </c>
      <c r="K16" s="143">
        <v>1.1000000000000001</v>
      </c>
      <c r="L16" s="143">
        <v>1.1000000000000001</v>
      </c>
      <c r="M16" s="143">
        <v>1.2</v>
      </c>
      <c r="N16" s="143">
        <v>1.3</v>
      </c>
      <c r="O16" s="143">
        <v>1.3</v>
      </c>
      <c r="P16" s="143">
        <v>1.3</v>
      </c>
      <c r="Q16" s="143">
        <v>1.4</v>
      </c>
    </row>
    <row r="17" spans="1:17">
      <c r="A17" s="122" t="s">
        <v>409</v>
      </c>
      <c r="B17" s="123" t="s">
        <v>6</v>
      </c>
      <c r="C17" s="143">
        <v>0.3</v>
      </c>
      <c r="D17" s="143">
        <v>0.3</v>
      </c>
      <c r="E17" s="143">
        <v>0.3</v>
      </c>
      <c r="F17" s="143">
        <v>0.3</v>
      </c>
      <c r="G17" s="143">
        <v>0.3</v>
      </c>
      <c r="H17" s="143">
        <v>0.3</v>
      </c>
      <c r="I17" s="143">
        <v>0.3</v>
      </c>
      <c r="J17" s="143">
        <v>0.3</v>
      </c>
      <c r="K17" s="143">
        <v>0.3</v>
      </c>
      <c r="L17" s="143">
        <v>0.3</v>
      </c>
      <c r="M17" s="143">
        <v>0.3</v>
      </c>
      <c r="N17" s="143">
        <v>0.3</v>
      </c>
      <c r="O17" s="143">
        <v>0.3</v>
      </c>
      <c r="P17" s="143">
        <v>0.3</v>
      </c>
      <c r="Q17" s="143">
        <v>0.3</v>
      </c>
    </row>
    <row r="18" spans="1:17">
      <c r="A18" s="122" t="s">
        <v>410</v>
      </c>
      <c r="B18" s="123" t="s">
        <v>6</v>
      </c>
      <c r="C18" s="143">
        <v>0.3</v>
      </c>
      <c r="D18" s="143">
        <v>0.3</v>
      </c>
      <c r="E18" s="143">
        <v>0.3</v>
      </c>
      <c r="F18" s="143">
        <v>0.3</v>
      </c>
      <c r="G18" s="143">
        <v>0.3</v>
      </c>
      <c r="H18" s="143">
        <v>0.3</v>
      </c>
      <c r="I18" s="143">
        <v>0.3</v>
      </c>
      <c r="J18" s="143">
        <v>0.3</v>
      </c>
      <c r="K18" s="143">
        <v>0.3</v>
      </c>
      <c r="L18" s="143">
        <v>0.3</v>
      </c>
      <c r="M18" s="143">
        <v>0.3</v>
      </c>
      <c r="N18" s="143">
        <v>0.3</v>
      </c>
      <c r="O18" s="143">
        <v>0.3</v>
      </c>
      <c r="P18" s="143">
        <v>0.3</v>
      </c>
      <c r="Q18" s="143">
        <v>0.3</v>
      </c>
    </row>
    <row r="19" spans="1:17">
      <c r="A19" s="122" t="s">
        <v>280</v>
      </c>
      <c r="B19" s="123" t="s">
        <v>6</v>
      </c>
      <c r="C19" s="143">
        <v>0.2</v>
      </c>
      <c r="D19" s="143">
        <v>0.2</v>
      </c>
      <c r="E19" s="143">
        <v>0.2</v>
      </c>
      <c r="F19" s="143">
        <v>0.2</v>
      </c>
      <c r="G19" s="143">
        <v>0.2</v>
      </c>
      <c r="H19" s="143">
        <v>0.2</v>
      </c>
      <c r="I19" s="143">
        <v>0.2</v>
      </c>
      <c r="J19" s="143">
        <v>0.2</v>
      </c>
      <c r="K19" s="143">
        <v>0.2</v>
      </c>
      <c r="L19" s="143">
        <v>0.2</v>
      </c>
      <c r="M19" s="143">
        <v>0.2</v>
      </c>
      <c r="N19" s="143">
        <v>0.2</v>
      </c>
      <c r="O19" s="143">
        <v>0.2</v>
      </c>
      <c r="P19" s="143">
        <v>0.2</v>
      </c>
      <c r="Q19" s="143">
        <v>0.2</v>
      </c>
    </row>
    <row r="20" spans="1:17" s="132" customFormat="1">
      <c r="A20" s="130" t="s">
        <v>116</v>
      </c>
      <c r="B20" s="131" t="s">
        <v>7</v>
      </c>
      <c r="C20" s="143">
        <v>75</v>
      </c>
      <c r="D20" s="143">
        <v>75</v>
      </c>
      <c r="E20" s="143">
        <v>75</v>
      </c>
      <c r="F20" s="143">
        <v>75</v>
      </c>
      <c r="G20" s="143">
        <v>75</v>
      </c>
      <c r="H20" s="143">
        <v>75</v>
      </c>
      <c r="I20" s="143">
        <v>75</v>
      </c>
      <c r="J20" s="143">
        <v>75</v>
      </c>
      <c r="K20" s="143">
        <v>75</v>
      </c>
      <c r="L20" s="143">
        <v>75</v>
      </c>
      <c r="M20" s="143">
        <v>75</v>
      </c>
      <c r="N20" s="143">
        <v>75</v>
      </c>
      <c r="O20" s="143">
        <v>75</v>
      </c>
      <c r="P20" s="143">
        <v>75</v>
      </c>
      <c r="Q20" s="143">
        <v>75</v>
      </c>
    </row>
    <row r="21" spans="1:17" s="132" customFormat="1">
      <c r="A21" s="130" t="s">
        <v>201</v>
      </c>
      <c r="B21" s="131" t="s">
        <v>4</v>
      </c>
      <c r="C21" s="143">
        <v>15</v>
      </c>
      <c r="D21" s="143">
        <v>15</v>
      </c>
      <c r="E21" s="143">
        <v>15</v>
      </c>
      <c r="F21" s="143">
        <v>15</v>
      </c>
      <c r="G21" s="143">
        <v>15</v>
      </c>
      <c r="H21" s="143">
        <v>15</v>
      </c>
      <c r="I21" s="143">
        <v>15</v>
      </c>
      <c r="J21" s="143">
        <v>15</v>
      </c>
      <c r="K21" s="143">
        <v>15</v>
      </c>
      <c r="L21" s="143">
        <v>15</v>
      </c>
      <c r="M21" s="143">
        <v>15</v>
      </c>
      <c r="N21" s="143">
        <v>15</v>
      </c>
      <c r="O21" s="143">
        <v>15</v>
      </c>
      <c r="P21" s="143">
        <v>15</v>
      </c>
      <c r="Q21" s="143">
        <v>15</v>
      </c>
    </row>
    <row r="22" spans="1:17" s="132" customFormat="1">
      <c r="A22" s="130" t="s">
        <v>203</v>
      </c>
      <c r="B22" s="131" t="s">
        <v>4</v>
      </c>
      <c r="C22" s="143">
        <v>10</v>
      </c>
      <c r="D22" s="143">
        <v>10</v>
      </c>
      <c r="E22" s="143">
        <v>10</v>
      </c>
      <c r="F22" s="143">
        <v>10</v>
      </c>
      <c r="G22" s="143">
        <v>10</v>
      </c>
      <c r="H22" s="143">
        <v>10</v>
      </c>
      <c r="I22" s="143">
        <v>10</v>
      </c>
      <c r="J22" s="143">
        <v>10</v>
      </c>
      <c r="K22" s="143">
        <v>10</v>
      </c>
      <c r="L22" s="143">
        <v>10</v>
      </c>
      <c r="M22" s="143">
        <v>10</v>
      </c>
      <c r="N22" s="143">
        <v>10</v>
      </c>
      <c r="O22" s="143">
        <v>10</v>
      </c>
      <c r="P22" s="143">
        <v>10</v>
      </c>
      <c r="Q22" s="143">
        <v>10</v>
      </c>
    </row>
    <row r="23" spans="1:17" s="132" customFormat="1">
      <c r="A23" s="130" t="s">
        <v>295</v>
      </c>
      <c r="B23" s="131" t="s">
        <v>4</v>
      </c>
      <c r="C23" s="143">
        <v>600</v>
      </c>
      <c r="D23" s="143">
        <v>600</v>
      </c>
      <c r="E23" s="143">
        <v>600</v>
      </c>
      <c r="F23" s="143">
        <v>600</v>
      </c>
      <c r="G23" s="143">
        <v>600</v>
      </c>
      <c r="H23" s="143">
        <v>600</v>
      </c>
      <c r="I23" s="143">
        <v>600</v>
      </c>
      <c r="J23" s="143">
        <v>600</v>
      </c>
      <c r="K23" s="143">
        <v>600</v>
      </c>
      <c r="L23" s="143">
        <v>600</v>
      </c>
      <c r="M23" s="143">
        <v>600</v>
      </c>
      <c r="N23" s="143">
        <v>600</v>
      </c>
      <c r="O23" s="143">
        <v>600</v>
      </c>
      <c r="P23" s="143">
        <v>600</v>
      </c>
      <c r="Q23" s="143">
        <v>600</v>
      </c>
    </row>
    <row r="24" spans="1:17">
      <c r="A24" s="130" t="s">
        <v>411</v>
      </c>
      <c r="B24" s="123" t="s">
        <v>6</v>
      </c>
      <c r="C24" s="143">
        <v>1.1000000000000001</v>
      </c>
      <c r="D24" s="143">
        <v>1.1000000000000001</v>
      </c>
      <c r="E24" s="143">
        <v>1.1000000000000001</v>
      </c>
      <c r="F24" s="143">
        <v>1.1000000000000001</v>
      </c>
      <c r="G24" s="143">
        <v>1.1000000000000001</v>
      </c>
      <c r="H24" s="143">
        <v>1.1000000000000001</v>
      </c>
      <c r="I24" s="143">
        <v>1.1000000000000001</v>
      </c>
      <c r="J24" s="143">
        <v>1.1000000000000001</v>
      </c>
      <c r="K24" s="143">
        <v>1.1000000000000001</v>
      </c>
      <c r="L24" s="143">
        <v>1.1000000000000001</v>
      </c>
      <c r="M24" s="143">
        <v>1.1000000000000001</v>
      </c>
      <c r="N24" s="143">
        <v>1.1000000000000001</v>
      </c>
      <c r="O24" s="143">
        <v>1.1000000000000001</v>
      </c>
      <c r="P24" s="143">
        <v>1.1000000000000001</v>
      </c>
      <c r="Q24" s="143">
        <v>1.1000000000000001</v>
      </c>
    </row>
    <row r="25" spans="1:17">
      <c r="A25" s="130" t="s">
        <v>412</v>
      </c>
      <c r="B25" s="123" t="s">
        <v>6</v>
      </c>
      <c r="C25" s="143">
        <v>1</v>
      </c>
      <c r="D25" s="143">
        <v>1</v>
      </c>
      <c r="E25" s="143">
        <v>1</v>
      </c>
      <c r="F25" s="143">
        <v>1</v>
      </c>
      <c r="G25" s="143">
        <v>1</v>
      </c>
      <c r="H25" s="143">
        <v>1</v>
      </c>
      <c r="I25" s="143">
        <v>1</v>
      </c>
      <c r="J25" s="143">
        <v>1</v>
      </c>
      <c r="K25" s="143">
        <v>1</v>
      </c>
      <c r="L25" s="143">
        <v>1</v>
      </c>
      <c r="M25" s="143">
        <v>1</v>
      </c>
      <c r="N25" s="143">
        <v>1</v>
      </c>
      <c r="O25" s="143">
        <v>1</v>
      </c>
      <c r="P25" s="143">
        <v>1</v>
      </c>
      <c r="Q25" s="143">
        <v>1</v>
      </c>
    </row>
    <row r="26" spans="1:17">
      <c r="A26" s="130" t="s">
        <v>297</v>
      </c>
      <c r="B26" s="123" t="s">
        <v>121</v>
      </c>
      <c r="C26" s="144">
        <v>1.5</v>
      </c>
      <c r="D26" s="144">
        <v>1.5</v>
      </c>
      <c r="E26" s="144">
        <v>1.5</v>
      </c>
      <c r="F26" s="144">
        <v>1.5</v>
      </c>
      <c r="G26" s="144">
        <v>1.5</v>
      </c>
      <c r="H26" s="144">
        <v>1.5</v>
      </c>
      <c r="I26" s="144">
        <v>1.5</v>
      </c>
      <c r="J26" s="144">
        <v>1.5</v>
      </c>
      <c r="K26" s="144">
        <v>1.5</v>
      </c>
      <c r="L26" s="144">
        <v>1.5</v>
      </c>
      <c r="M26" s="144">
        <v>3</v>
      </c>
      <c r="N26" s="144">
        <v>3</v>
      </c>
      <c r="O26" s="144">
        <v>3</v>
      </c>
      <c r="P26" s="144">
        <v>3</v>
      </c>
      <c r="Q26" s="144">
        <v>3</v>
      </c>
    </row>
    <row r="27" spans="1:17">
      <c r="A27" s="130" t="s">
        <v>289</v>
      </c>
      <c r="B27" s="123" t="s">
        <v>121</v>
      </c>
      <c r="C27" s="143">
        <v>1.1000000000000001</v>
      </c>
      <c r="D27" s="143">
        <v>1.1000000000000001</v>
      </c>
      <c r="E27" s="143">
        <v>1.1000000000000001</v>
      </c>
      <c r="F27" s="143">
        <v>2.2000000000000002</v>
      </c>
      <c r="G27" s="143">
        <v>2.2000000000000002</v>
      </c>
      <c r="H27" s="143">
        <v>1.1000000000000001</v>
      </c>
      <c r="I27" s="144">
        <v>2.2000000000000002</v>
      </c>
      <c r="J27" s="144">
        <v>2.2000000000000002</v>
      </c>
      <c r="K27" s="144">
        <v>2.2000000000000002</v>
      </c>
      <c r="L27" s="144">
        <v>2.2000000000000002</v>
      </c>
      <c r="M27" s="144">
        <v>2.2000000000000002</v>
      </c>
      <c r="N27" s="144">
        <v>2.2000000000000002</v>
      </c>
      <c r="O27" s="144">
        <v>2.2000000000000002</v>
      </c>
      <c r="P27" s="144">
        <v>2.2000000000000002</v>
      </c>
      <c r="Q27" s="144">
        <v>2.2000000000000002</v>
      </c>
    </row>
    <row r="28" spans="1:17" s="132" customFormat="1">
      <c r="A28" s="130" t="s">
        <v>285</v>
      </c>
      <c r="B28" s="133" t="s">
        <v>4</v>
      </c>
      <c r="C28" s="143">
        <v>600</v>
      </c>
      <c r="D28" s="143">
        <v>700</v>
      </c>
      <c r="E28" s="143">
        <v>800</v>
      </c>
      <c r="F28" s="143">
        <v>900</v>
      </c>
      <c r="G28" s="143">
        <v>1000</v>
      </c>
      <c r="H28" s="143">
        <v>900</v>
      </c>
      <c r="I28" s="143">
        <v>900</v>
      </c>
      <c r="J28" s="143">
        <v>1000</v>
      </c>
      <c r="K28" s="143">
        <v>1000</v>
      </c>
      <c r="L28" s="143">
        <v>1100</v>
      </c>
      <c r="M28" s="143">
        <v>1000</v>
      </c>
      <c r="N28" s="143">
        <v>1100</v>
      </c>
      <c r="O28" s="143">
        <v>1100</v>
      </c>
      <c r="P28" s="143">
        <v>1200</v>
      </c>
      <c r="Q28" s="143">
        <v>1200</v>
      </c>
    </row>
    <row r="29" spans="1:17" s="132" customFormat="1">
      <c r="A29" s="130" t="s">
        <v>210</v>
      </c>
      <c r="B29" s="133" t="s">
        <v>4</v>
      </c>
      <c r="C29" s="143">
        <v>600</v>
      </c>
      <c r="D29" s="143">
        <v>700</v>
      </c>
      <c r="E29" s="143">
        <v>800</v>
      </c>
      <c r="F29" s="143">
        <v>900</v>
      </c>
      <c r="G29" s="143">
        <v>1000</v>
      </c>
      <c r="H29" s="143">
        <v>900</v>
      </c>
      <c r="I29" s="143">
        <v>900</v>
      </c>
      <c r="J29" s="143">
        <v>1000</v>
      </c>
      <c r="K29" s="143">
        <v>1000</v>
      </c>
      <c r="L29" s="143">
        <v>1100</v>
      </c>
      <c r="M29" s="143">
        <v>1000</v>
      </c>
      <c r="N29" s="143">
        <v>1100</v>
      </c>
      <c r="O29" s="143">
        <v>1100</v>
      </c>
      <c r="P29" s="143">
        <v>1200</v>
      </c>
      <c r="Q29" s="143">
        <v>1200</v>
      </c>
    </row>
    <row r="30" spans="1:17" s="132" customFormat="1">
      <c r="A30" s="130" t="s">
        <v>81</v>
      </c>
      <c r="B30" s="133" t="s">
        <v>6</v>
      </c>
      <c r="C30" s="143">
        <v>0.3</v>
      </c>
      <c r="D30" s="143">
        <v>0.3</v>
      </c>
      <c r="E30" s="143">
        <v>0.3</v>
      </c>
      <c r="F30" s="143">
        <v>0.3</v>
      </c>
      <c r="G30" s="143">
        <v>0.3</v>
      </c>
      <c r="H30" s="143">
        <v>0.3</v>
      </c>
      <c r="I30" s="143">
        <v>0.3</v>
      </c>
      <c r="J30" s="143">
        <v>0.3</v>
      </c>
      <c r="K30" s="143">
        <v>0.3</v>
      </c>
      <c r="L30" s="143">
        <v>0.3</v>
      </c>
      <c r="M30" s="143">
        <v>0.3</v>
      </c>
      <c r="N30" s="143">
        <v>0.3</v>
      </c>
      <c r="O30" s="143">
        <v>0.3</v>
      </c>
      <c r="P30" s="143">
        <v>0.3</v>
      </c>
      <c r="Q30" s="143">
        <v>0.3</v>
      </c>
    </row>
    <row r="31" spans="1:17" s="132" customFormat="1">
      <c r="A31" s="130" t="s">
        <v>120</v>
      </c>
      <c r="B31" s="133" t="s">
        <v>4</v>
      </c>
      <c r="C31" s="143">
        <v>200</v>
      </c>
      <c r="D31" s="143">
        <v>200</v>
      </c>
      <c r="E31" s="143">
        <v>200</v>
      </c>
      <c r="F31" s="143">
        <v>200</v>
      </c>
      <c r="G31" s="143">
        <v>200</v>
      </c>
      <c r="H31" s="143">
        <v>200</v>
      </c>
      <c r="I31" s="143">
        <v>200</v>
      </c>
      <c r="J31" s="143">
        <v>200</v>
      </c>
      <c r="K31" s="143">
        <v>200</v>
      </c>
      <c r="L31" s="143">
        <v>200</v>
      </c>
      <c r="M31" s="143">
        <v>200</v>
      </c>
      <c r="N31" s="143">
        <v>200</v>
      </c>
      <c r="O31" s="143">
        <v>200</v>
      </c>
      <c r="P31" s="143">
        <v>200</v>
      </c>
      <c r="Q31" s="143">
        <v>200</v>
      </c>
    </row>
    <row r="32" spans="1:17" s="132" customFormat="1">
      <c r="A32" s="130" t="s">
        <v>286</v>
      </c>
      <c r="B32" s="133" t="s">
        <v>4</v>
      </c>
      <c r="C32" s="143">
        <v>600</v>
      </c>
      <c r="D32" s="143">
        <v>700</v>
      </c>
      <c r="E32" s="143">
        <v>800</v>
      </c>
      <c r="F32" s="143">
        <v>900</v>
      </c>
      <c r="G32" s="143">
        <v>1000</v>
      </c>
      <c r="H32" s="143">
        <v>900</v>
      </c>
      <c r="I32" s="143">
        <v>900</v>
      </c>
      <c r="J32" s="143">
        <v>1000</v>
      </c>
      <c r="K32" s="143">
        <v>1000</v>
      </c>
      <c r="L32" s="143">
        <v>1100</v>
      </c>
      <c r="M32" s="143">
        <v>1000</v>
      </c>
      <c r="N32" s="143">
        <v>1100</v>
      </c>
      <c r="O32" s="143">
        <v>1100</v>
      </c>
      <c r="P32" s="143">
        <v>1200</v>
      </c>
      <c r="Q32" s="143">
        <v>1200</v>
      </c>
    </row>
    <row r="33" spans="1:17" s="132" customFormat="1">
      <c r="A33" s="130" t="s">
        <v>212</v>
      </c>
      <c r="B33" s="133" t="s">
        <v>4</v>
      </c>
      <c r="C33" s="143">
        <v>600</v>
      </c>
      <c r="D33" s="143">
        <v>700</v>
      </c>
      <c r="E33" s="143">
        <v>800</v>
      </c>
      <c r="F33" s="143">
        <v>900</v>
      </c>
      <c r="G33" s="143">
        <v>1000</v>
      </c>
      <c r="H33" s="143">
        <v>900</v>
      </c>
      <c r="I33" s="143">
        <v>900</v>
      </c>
      <c r="J33" s="143">
        <v>1000</v>
      </c>
      <c r="K33" s="143">
        <v>1000</v>
      </c>
      <c r="L33" s="143">
        <v>1100</v>
      </c>
      <c r="M33" s="143">
        <v>1000</v>
      </c>
      <c r="N33" s="143">
        <v>1100</v>
      </c>
      <c r="O33" s="143">
        <v>1100</v>
      </c>
      <c r="P33" s="143">
        <v>1200</v>
      </c>
      <c r="Q33" s="143">
        <v>1200</v>
      </c>
    </row>
    <row r="34" spans="1:17" s="132" customFormat="1">
      <c r="A34" s="130" t="s">
        <v>294</v>
      </c>
      <c r="B34" s="133" t="s">
        <v>6</v>
      </c>
      <c r="C34" s="143">
        <v>0</v>
      </c>
      <c r="D34" s="143">
        <v>0</v>
      </c>
      <c r="E34" s="143">
        <v>0</v>
      </c>
      <c r="F34" s="143">
        <v>0</v>
      </c>
      <c r="G34" s="143">
        <v>0</v>
      </c>
      <c r="H34" s="143">
        <v>0</v>
      </c>
      <c r="I34" s="143">
        <v>0</v>
      </c>
      <c r="J34" s="143">
        <v>0</v>
      </c>
      <c r="K34" s="143">
        <v>0</v>
      </c>
      <c r="L34" s="143">
        <v>0</v>
      </c>
      <c r="M34" s="143">
        <v>0</v>
      </c>
      <c r="N34" s="143">
        <v>0</v>
      </c>
      <c r="O34" s="143">
        <v>0</v>
      </c>
      <c r="P34" s="143">
        <v>0</v>
      </c>
      <c r="Q34" s="143">
        <v>0</v>
      </c>
    </row>
    <row r="35" spans="1:17" s="132" customFormat="1">
      <c r="A35" s="130" t="s">
        <v>122</v>
      </c>
      <c r="B35" s="133" t="s">
        <v>4</v>
      </c>
      <c r="C35" s="143">
        <v>200</v>
      </c>
      <c r="D35" s="143">
        <v>200</v>
      </c>
      <c r="E35" s="143">
        <v>200</v>
      </c>
      <c r="F35" s="143">
        <v>200</v>
      </c>
      <c r="G35" s="143">
        <v>200</v>
      </c>
      <c r="H35" s="143">
        <v>200</v>
      </c>
      <c r="I35" s="143">
        <v>200</v>
      </c>
      <c r="J35" s="143">
        <v>200</v>
      </c>
      <c r="K35" s="143">
        <v>200</v>
      </c>
      <c r="L35" s="143">
        <v>200</v>
      </c>
      <c r="M35" s="143">
        <v>200</v>
      </c>
      <c r="N35" s="143">
        <v>200</v>
      </c>
      <c r="O35" s="143">
        <v>200</v>
      </c>
      <c r="P35" s="143">
        <v>200</v>
      </c>
      <c r="Q35" s="143">
        <v>200</v>
      </c>
    </row>
    <row r="36" spans="1:17">
      <c r="A36" s="130" t="s">
        <v>328</v>
      </c>
      <c r="B36" s="123" t="s">
        <v>121</v>
      </c>
      <c r="C36" s="143">
        <v>0.75</v>
      </c>
      <c r="D36" s="143">
        <v>0.75</v>
      </c>
      <c r="E36" s="143">
        <v>0.75</v>
      </c>
      <c r="F36" s="143">
        <v>0.75</v>
      </c>
      <c r="G36" s="143">
        <v>0.75</v>
      </c>
      <c r="H36" s="143">
        <v>0.75</v>
      </c>
      <c r="I36" s="143">
        <v>0.75</v>
      </c>
      <c r="J36" s="143">
        <v>0.75</v>
      </c>
      <c r="K36" s="143">
        <v>0.75</v>
      </c>
      <c r="L36" s="143">
        <v>1.1000000000000001</v>
      </c>
      <c r="M36" s="143">
        <v>0.75</v>
      </c>
      <c r="N36" s="143">
        <v>1.1000000000000001</v>
      </c>
      <c r="O36" s="143">
        <v>1.1000000000000001</v>
      </c>
      <c r="P36" s="144">
        <v>1.5</v>
      </c>
      <c r="Q36" s="144">
        <v>1.5</v>
      </c>
    </row>
    <row r="37" spans="1:17">
      <c r="A37" s="130" t="s">
        <v>327</v>
      </c>
      <c r="B37" s="123" t="s">
        <v>121</v>
      </c>
      <c r="C37" s="143">
        <v>0.75</v>
      </c>
      <c r="D37" s="143">
        <v>0.75</v>
      </c>
      <c r="E37" s="143">
        <v>0.75</v>
      </c>
      <c r="F37" s="143">
        <v>0.75</v>
      </c>
      <c r="G37" s="143">
        <v>0.75</v>
      </c>
      <c r="H37" s="143">
        <v>0.75</v>
      </c>
      <c r="I37" s="143">
        <v>0.75</v>
      </c>
      <c r="J37" s="143">
        <v>0.75</v>
      </c>
      <c r="K37" s="143">
        <v>0.75</v>
      </c>
      <c r="L37" s="143">
        <v>1.1000000000000001</v>
      </c>
      <c r="M37" s="143">
        <v>0.75</v>
      </c>
      <c r="N37" s="143">
        <v>1.1000000000000001</v>
      </c>
      <c r="O37" s="143">
        <v>1.1000000000000001</v>
      </c>
      <c r="P37" s="144">
        <v>1.5</v>
      </c>
      <c r="Q37" s="144">
        <v>1.5</v>
      </c>
    </row>
    <row r="38" spans="1:17">
      <c r="A38" s="130" t="s">
        <v>289</v>
      </c>
      <c r="B38" s="123" t="s">
        <v>121</v>
      </c>
      <c r="C38" s="143">
        <v>2.2000000000000002</v>
      </c>
      <c r="D38" s="143">
        <v>2.2000000000000002</v>
      </c>
      <c r="E38" s="143">
        <v>2.2000000000000002</v>
      </c>
      <c r="F38" s="143">
        <v>2.2000000000000002</v>
      </c>
      <c r="G38" s="143">
        <v>2.2000000000000002</v>
      </c>
      <c r="H38" s="143">
        <v>2.2000000000000002</v>
      </c>
      <c r="I38" s="143">
        <v>2.2000000000000002</v>
      </c>
      <c r="J38" s="143">
        <v>2.2000000000000002</v>
      </c>
      <c r="K38" s="143">
        <v>2.2000000000000002</v>
      </c>
      <c r="L38" s="143">
        <v>2.2000000000000002</v>
      </c>
      <c r="M38" s="143">
        <v>2.2000000000000002</v>
      </c>
      <c r="N38" s="143">
        <v>2.2000000000000002</v>
      </c>
      <c r="O38" s="143">
        <v>2.2000000000000002</v>
      </c>
      <c r="P38" s="143">
        <v>2.2000000000000002</v>
      </c>
      <c r="Q38" s="143">
        <v>2.2000000000000002</v>
      </c>
    </row>
    <row r="39" spans="1:17">
      <c r="A39" s="130" t="s">
        <v>123</v>
      </c>
      <c r="B39" s="123" t="s">
        <v>408</v>
      </c>
      <c r="C39" s="143">
        <v>0.25</v>
      </c>
      <c r="D39" s="143">
        <v>0.25</v>
      </c>
      <c r="E39" s="143">
        <v>0.25</v>
      </c>
      <c r="F39" s="143">
        <v>0.25</v>
      </c>
      <c r="G39" s="143">
        <v>0.25</v>
      </c>
      <c r="H39" s="143">
        <v>0.25</v>
      </c>
      <c r="I39" s="143">
        <v>0.25</v>
      </c>
      <c r="J39" s="143">
        <v>0.25</v>
      </c>
      <c r="K39" s="143">
        <v>0.5</v>
      </c>
      <c r="L39" s="143">
        <v>0.5</v>
      </c>
      <c r="M39" s="143">
        <v>0.5</v>
      </c>
      <c r="N39" s="143">
        <v>0.5</v>
      </c>
      <c r="O39" s="143">
        <v>0.5</v>
      </c>
      <c r="P39" s="143">
        <v>0.5</v>
      </c>
      <c r="Q39" s="143">
        <v>0.5</v>
      </c>
    </row>
    <row r="40" spans="1:17" s="132" customFormat="1">
      <c r="A40" s="130" t="s">
        <v>208</v>
      </c>
      <c r="B40" s="133" t="s">
        <v>4</v>
      </c>
      <c r="C40" s="143">
        <v>900</v>
      </c>
      <c r="D40" s="143">
        <v>1000</v>
      </c>
      <c r="E40" s="143">
        <v>1200</v>
      </c>
      <c r="F40" s="143">
        <v>1200</v>
      </c>
      <c r="G40" s="143">
        <v>1200</v>
      </c>
      <c r="H40" s="143">
        <v>1400</v>
      </c>
      <c r="I40" s="143">
        <v>1400</v>
      </c>
      <c r="J40" s="143">
        <v>1600</v>
      </c>
      <c r="K40" s="143">
        <v>1600</v>
      </c>
      <c r="L40" s="143">
        <v>1800</v>
      </c>
      <c r="M40" s="143">
        <v>1800</v>
      </c>
      <c r="N40" s="143">
        <v>1800</v>
      </c>
      <c r="O40" s="143">
        <v>1800</v>
      </c>
      <c r="P40" s="143">
        <v>2000</v>
      </c>
      <c r="Q40" s="143">
        <v>2000</v>
      </c>
    </row>
    <row r="41" spans="1:17">
      <c r="A41" s="130" t="s">
        <v>315</v>
      </c>
      <c r="B41" s="123" t="s">
        <v>4</v>
      </c>
      <c r="C41" s="143">
        <v>300</v>
      </c>
      <c r="D41" s="144">
        <v>300</v>
      </c>
      <c r="E41" s="144">
        <v>400</v>
      </c>
      <c r="F41" s="144">
        <v>500</v>
      </c>
      <c r="G41" s="144">
        <v>500</v>
      </c>
      <c r="H41" s="144">
        <v>500</v>
      </c>
      <c r="I41" s="144">
        <v>500</v>
      </c>
      <c r="J41" s="144">
        <v>600</v>
      </c>
      <c r="K41" s="144">
        <v>600</v>
      </c>
      <c r="L41" s="144">
        <v>600</v>
      </c>
      <c r="M41" s="144">
        <v>600</v>
      </c>
      <c r="N41" s="144">
        <v>600</v>
      </c>
      <c r="O41" s="144">
        <v>800</v>
      </c>
      <c r="P41" s="144">
        <v>800</v>
      </c>
      <c r="Q41" s="144">
        <v>800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"/>
  <sheetViews>
    <sheetView workbookViewId="0">
      <selection activeCell="C1" sqref="C1"/>
    </sheetView>
  </sheetViews>
  <sheetFormatPr defaultRowHeight="14.25"/>
  <cols>
    <col min="1" max="17" width="16.875" bestFit="1" customWidth="1" collapsed="1"/>
    <col min="18" max="29" width="18" bestFit="1" customWidth="1" collapsed="1"/>
  </cols>
  <sheetData>
    <row r="1" spans="1:29" s="45" customFormat="1" ht="16.5">
      <c r="A1" s="136" t="s">
        <v>158</v>
      </c>
      <c r="B1" s="136" t="s">
        <v>159</v>
      </c>
      <c r="C1" s="135" t="s">
        <v>160</v>
      </c>
      <c r="D1" s="136" t="s">
        <v>161</v>
      </c>
      <c r="E1" s="135" t="s">
        <v>162</v>
      </c>
      <c r="F1" s="136" t="s">
        <v>163</v>
      </c>
      <c r="G1" s="135" t="s">
        <v>164</v>
      </c>
      <c r="H1" s="136" t="s">
        <v>165</v>
      </c>
      <c r="I1" s="135" t="s">
        <v>166</v>
      </c>
      <c r="J1" s="136" t="s">
        <v>167</v>
      </c>
      <c r="K1" s="135" t="s">
        <v>168</v>
      </c>
      <c r="L1" s="136" t="s">
        <v>169</v>
      </c>
      <c r="M1" s="135" t="s">
        <v>170</v>
      </c>
      <c r="N1" s="136" t="s">
        <v>171</v>
      </c>
      <c r="O1" s="135" t="s">
        <v>172</v>
      </c>
      <c r="P1" s="136" t="s">
        <v>173</v>
      </c>
      <c r="Q1" s="135" t="s">
        <v>174</v>
      </c>
      <c r="R1" s="136" t="s">
        <v>175</v>
      </c>
      <c r="S1" s="135" t="s">
        <v>176</v>
      </c>
      <c r="T1" s="136" t="s">
        <v>177</v>
      </c>
      <c r="U1" s="135" t="s">
        <v>178</v>
      </c>
      <c r="V1" s="136" t="s">
        <v>179</v>
      </c>
      <c r="W1" s="135" t="s">
        <v>180</v>
      </c>
      <c r="X1" s="135" t="s">
        <v>181</v>
      </c>
      <c r="Y1" s="135" t="s">
        <v>182</v>
      </c>
      <c r="Z1" s="136" t="s">
        <v>183</v>
      </c>
      <c r="AA1" s="135" t="s">
        <v>184</v>
      </c>
      <c r="AB1" s="136" t="s">
        <v>185</v>
      </c>
      <c r="AC1" s="135" t="s">
        <v>186</v>
      </c>
    </row>
    <row r="2" spans="1:29" s="45" customFormat="1" ht="16.5">
      <c r="A2" s="136" t="str">
        <f>流量20000</f>
        <v>BE-CGS-HZ-2-0.8</v>
      </c>
      <c r="B2" s="136" t="str">
        <f>C2</f>
        <v>BE-CGS-HZ-2-0.8</v>
      </c>
      <c r="C2" s="135" t="str">
        <f>'辅助-模块单元解耦'!C2</f>
        <v>BE-CGS-HZ-2-0.8</v>
      </c>
      <c r="D2" s="136" t="str">
        <f>E2</f>
        <v>BE-CGS-HZ-3-1</v>
      </c>
      <c r="E2" s="135" t="str">
        <f>'辅助-模块单元解耦'!D2</f>
        <v>BE-CGS-HZ-3-1</v>
      </c>
      <c r="F2" s="136" t="str">
        <f>G2</f>
        <v>BE-CGS-SS-4-1.2</v>
      </c>
      <c r="G2" s="135" t="str">
        <f>'辅助-模块单元解耦'!E2</f>
        <v>BE-CGS-SS-4-1.2</v>
      </c>
      <c r="H2" s="136" t="str">
        <f>I2</f>
        <v>BE-CGS-SS-5-1.2</v>
      </c>
      <c r="I2" s="135" t="str">
        <f>'辅助-模块单元解耦'!F2</f>
        <v>BE-CGS-SS-5-1.2</v>
      </c>
      <c r="J2" s="136" t="str">
        <f>K2</f>
        <v>BE-CGS-SS-6-1.4</v>
      </c>
      <c r="K2" s="135" t="str">
        <f>'辅助-模块单元解耦'!G2</f>
        <v>BE-CGS-SS-6-1.4</v>
      </c>
      <c r="L2" s="136" t="str">
        <f>M2</f>
        <v>BE-CGS-SS-7-1</v>
      </c>
      <c r="M2" s="135" t="str">
        <f>'辅助-模块单元解耦'!H2</f>
        <v>BE-CGS-SS-7-1</v>
      </c>
      <c r="N2" s="136" t="str">
        <f>O2</f>
        <v>BE-CGS-SS-8-1</v>
      </c>
      <c r="O2" s="135" t="str">
        <f>'辅助-模块单元解耦'!I2</f>
        <v>BE-CGS-SS-8-1</v>
      </c>
      <c r="P2" s="136" t="str">
        <f>Q2</f>
        <v>BE-CGS-SS-9-1.2</v>
      </c>
      <c r="Q2" s="135" t="str">
        <f>'辅助-模块单元解耦'!J2</f>
        <v>BE-CGS-SS-9-1.2</v>
      </c>
      <c r="R2" s="136" t="str">
        <f>S2</f>
        <v>BE-CGS-SS-10-1.2</v>
      </c>
      <c r="S2" s="135" t="str">
        <f>'辅助-模块单元解耦'!K2</f>
        <v>BE-CGS-SS-10-1.2</v>
      </c>
      <c r="T2" s="136" t="str">
        <f>U2</f>
        <v>BE-CGS-SS-12-1.4</v>
      </c>
      <c r="U2" s="135" t="str">
        <f>'辅助-模块单元解耦'!L2</f>
        <v>BE-CGS-SS-12-1.4</v>
      </c>
      <c r="V2" s="136" t="str">
        <f>W2</f>
        <v>BE-CGS-SS-14-1.2</v>
      </c>
      <c r="W2" s="135" t="str">
        <f>'辅助-模块单元解耦'!M2</f>
        <v>BE-CGS-SS-14-1.2</v>
      </c>
      <c r="X2" s="135" t="str">
        <f>'辅助-模块单元解耦'!N2</f>
        <v>BE-CGS-SS-15-1.2</v>
      </c>
      <c r="Y2" s="135" t="str">
        <f>'辅助-模块单元解耦'!O2</f>
        <v>BE-CGS-SS-16-1.2</v>
      </c>
      <c r="Z2" s="136" t="str">
        <f>AA2</f>
        <v>BE-CGS-SS-18-1.4</v>
      </c>
      <c r="AA2" s="135" t="str">
        <f>'辅助-模块单元解耦'!P2</f>
        <v>BE-CGS-SS-18-1.4</v>
      </c>
      <c r="AB2" s="136" t="str">
        <f>流量200000</f>
        <v>BE-CGS-SS-20-1.4</v>
      </c>
      <c r="AC2" s="135" t="str">
        <f>'辅助-模块单元解耦'!Q2</f>
        <v>BE-CGS-SS-20-1.4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6"/>
  <sheetViews>
    <sheetView workbookViewId="0">
      <selection activeCell="G132" sqref="G132"/>
    </sheetView>
  </sheetViews>
  <sheetFormatPr defaultRowHeight="16.5"/>
  <cols>
    <col min="1" max="1" width="9" style="137" collapsed="1"/>
  </cols>
  <sheetData>
    <row r="1" spans="1:1">
      <c r="A1" s="137" t="s">
        <v>187</v>
      </c>
    </row>
    <row r="2" spans="1:1">
      <c r="A2" s="137">
        <v>0.06</v>
      </c>
    </row>
    <row r="3" spans="1:1">
      <c r="A3" s="137">
        <v>0.09</v>
      </c>
    </row>
    <row r="4" spans="1:1">
      <c r="A4" s="137">
        <v>0.12</v>
      </c>
    </row>
    <row r="5" spans="1:1">
      <c r="A5" s="137">
        <v>0.18</v>
      </c>
    </row>
    <row r="6" spans="1:1">
      <c r="A6" s="137">
        <v>0.25</v>
      </c>
    </row>
    <row r="7" spans="1:1">
      <c r="A7" s="137">
        <v>0.37</v>
      </c>
    </row>
    <row r="8" spans="1:1">
      <c r="A8" s="137">
        <v>0.55000000000000004</v>
      </c>
    </row>
    <row r="9" spans="1:1">
      <c r="A9" s="137">
        <v>0.75</v>
      </c>
    </row>
    <row r="10" spans="1:1">
      <c r="A10" s="137">
        <v>1.1000000000000001</v>
      </c>
    </row>
    <row r="11" spans="1:1">
      <c r="A11" s="137">
        <v>1.5</v>
      </c>
    </row>
    <row r="12" spans="1:1">
      <c r="A12" s="137">
        <v>2.2000000000000002</v>
      </c>
    </row>
    <row r="13" spans="1:1">
      <c r="A13" s="137">
        <v>3.7</v>
      </c>
    </row>
    <row r="14" spans="1:1">
      <c r="A14" s="137">
        <v>5.5</v>
      </c>
    </row>
    <row r="15" spans="1:1">
      <c r="A15" s="137">
        <v>7.5</v>
      </c>
    </row>
    <row r="16" spans="1:1">
      <c r="A16" s="137">
        <v>11</v>
      </c>
    </row>
    <row r="17" spans="1:1">
      <c r="A17" s="137">
        <v>15</v>
      </c>
    </row>
    <row r="18" spans="1:1">
      <c r="A18" s="137">
        <v>18.5</v>
      </c>
    </row>
    <row r="19" spans="1:1">
      <c r="A19" s="137">
        <v>22</v>
      </c>
    </row>
    <row r="20" spans="1:1">
      <c r="A20" s="137">
        <v>30</v>
      </c>
    </row>
    <row r="21" spans="1:1">
      <c r="A21" s="137">
        <v>37</v>
      </c>
    </row>
    <row r="22" spans="1:1">
      <c r="A22" s="137">
        <v>45</v>
      </c>
    </row>
    <row r="23" spans="1:1">
      <c r="A23" s="137">
        <v>55</v>
      </c>
    </row>
    <row r="24" spans="1:1">
      <c r="A24" s="137">
        <v>75</v>
      </c>
    </row>
    <row r="25" spans="1:1">
      <c r="A25" s="137">
        <v>90</v>
      </c>
    </row>
    <row r="26" spans="1:1">
      <c r="A26" s="137">
        <v>110</v>
      </c>
    </row>
    <row r="27" spans="1:1">
      <c r="A27" s="137">
        <v>132</v>
      </c>
    </row>
    <row r="28" spans="1:1">
      <c r="A28" s="137">
        <v>150</v>
      </c>
    </row>
    <row r="29" spans="1:1">
      <c r="A29" s="137">
        <v>160</v>
      </c>
    </row>
    <row r="30" spans="1:1">
      <c r="A30" s="137">
        <v>185</v>
      </c>
    </row>
    <row r="31" spans="1:1">
      <c r="A31" s="137">
        <v>200</v>
      </c>
    </row>
    <row r="32" spans="1:1">
      <c r="A32" s="137">
        <v>220</v>
      </c>
    </row>
    <row r="33" spans="1:1">
      <c r="A33" s="137">
        <v>250</v>
      </c>
    </row>
    <row r="34" spans="1:1">
      <c r="A34" s="137">
        <v>280</v>
      </c>
    </row>
    <row r="35" spans="1:1">
      <c r="A35" s="137">
        <v>300</v>
      </c>
    </row>
    <row r="36" spans="1:1">
      <c r="A36" s="137">
        <v>315</v>
      </c>
    </row>
    <row r="37" spans="1:1">
      <c r="A37" s="137">
        <v>335</v>
      </c>
    </row>
    <row r="38" spans="1:1">
      <c r="A38" s="137">
        <v>355</v>
      </c>
    </row>
    <row r="39" spans="1:1">
      <c r="A39" s="137">
        <v>375</v>
      </c>
    </row>
    <row r="40" spans="1:1">
      <c r="A40" s="137">
        <v>400</v>
      </c>
    </row>
    <row r="41" spans="1:1">
      <c r="A41" s="137">
        <v>425</v>
      </c>
    </row>
    <row r="42" spans="1:1">
      <c r="A42" s="137">
        <v>450</v>
      </c>
    </row>
    <row r="43" spans="1:1">
      <c r="A43" s="137">
        <v>475</v>
      </c>
    </row>
    <row r="44" spans="1:1">
      <c r="A44" s="137">
        <v>500</v>
      </c>
    </row>
    <row r="45" spans="1:1">
      <c r="A45" s="137">
        <v>530</v>
      </c>
    </row>
    <row r="46" spans="1:1">
      <c r="A46" s="137">
        <v>560</v>
      </c>
    </row>
    <row r="47" spans="1:1">
      <c r="A47" s="137">
        <v>600</v>
      </c>
    </row>
    <row r="48" spans="1:1">
      <c r="A48" s="137">
        <v>630</v>
      </c>
    </row>
    <row r="49" spans="1:1">
      <c r="A49" s="137">
        <v>670</v>
      </c>
    </row>
    <row r="50" spans="1:1">
      <c r="A50" s="137">
        <v>710</v>
      </c>
    </row>
    <row r="51" spans="1:1">
      <c r="A51" s="137">
        <v>750</v>
      </c>
    </row>
    <row r="52" spans="1:1">
      <c r="A52" s="137">
        <v>800</v>
      </c>
    </row>
    <row r="53" spans="1:1">
      <c r="A53" s="137">
        <v>850</v>
      </c>
    </row>
    <row r="54" spans="1:1">
      <c r="A54" s="137">
        <v>900</v>
      </c>
    </row>
    <row r="55" spans="1:1">
      <c r="A55" s="137">
        <v>950</v>
      </c>
    </row>
    <row r="56" spans="1:1">
      <c r="A56" s="137">
        <v>1000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5"/>
  <sheetViews>
    <sheetView zoomScale="118" zoomScaleNormal="118" workbookViewId="0">
      <selection activeCell="G132" sqref="G132"/>
    </sheetView>
  </sheetViews>
  <sheetFormatPr defaultColWidth="9" defaultRowHeight="17.25"/>
  <cols>
    <col min="1" max="1" width="9" style="138" collapsed="1"/>
    <col min="2" max="2" width="22.75" style="138" bestFit="1" customWidth="1" collapsed="1"/>
    <col min="3" max="6" width="5.875" style="138" bestFit="1" customWidth="1" collapsed="1"/>
    <col min="7" max="9" width="6.625" style="138" bestFit="1" customWidth="1" collapsed="1"/>
    <col min="10" max="10" width="8" style="138" bestFit="1" customWidth="1" collapsed="1"/>
    <col min="11" max="16384" width="9" style="138" collapsed="1"/>
  </cols>
  <sheetData>
    <row r="2" spans="2:10">
      <c r="B2" s="244" t="s">
        <v>188</v>
      </c>
      <c r="C2" s="244"/>
      <c r="D2" s="244"/>
      <c r="E2" s="244"/>
      <c r="F2" s="244"/>
      <c r="G2" s="244"/>
      <c r="H2" s="244"/>
      <c r="I2" s="244"/>
      <c r="J2" s="244"/>
    </row>
    <row r="3" spans="2:10">
      <c r="B3" s="139" t="s">
        <v>189</v>
      </c>
      <c r="C3" s="139">
        <v>5</v>
      </c>
      <c r="D3" s="139">
        <v>15</v>
      </c>
      <c r="E3" s="139">
        <v>40</v>
      </c>
      <c r="F3" s="139">
        <v>70</v>
      </c>
      <c r="G3" s="139">
        <v>100</v>
      </c>
      <c r="H3" s="139">
        <v>200</v>
      </c>
      <c r="I3" s="139">
        <v>500</v>
      </c>
      <c r="J3" s="139">
        <v>1000</v>
      </c>
    </row>
    <row r="4" spans="2:10" ht="34.5">
      <c r="B4" s="140" t="s">
        <v>190</v>
      </c>
      <c r="C4" s="139">
        <v>2.7</v>
      </c>
      <c r="D4" s="139">
        <v>2.4</v>
      </c>
      <c r="E4" s="139">
        <v>2.1</v>
      </c>
      <c r="F4" s="139">
        <v>2</v>
      </c>
      <c r="G4" s="139">
        <v>1.9</v>
      </c>
      <c r="H4" s="139">
        <v>1.8</v>
      </c>
      <c r="I4" s="139">
        <v>1.6</v>
      </c>
      <c r="J4" s="139">
        <v>1.5</v>
      </c>
    </row>
    <row r="5" spans="2:10" ht="34.5">
      <c r="B5" s="140" t="s">
        <v>191</v>
      </c>
      <c r="C5" s="139">
        <v>2.2999999999999998</v>
      </c>
      <c r="D5" s="139">
        <v>2</v>
      </c>
      <c r="E5" s="139">
        <v>1.8</v>
      </c>
      <c r="F5" s="139">
        <v>1.7</v>
      </c>
      <c r="G5" s="139">
        <v>1.6</v>
      </c>
      <c r="H5" s="139">
        <v>1.5</v>
      </c>
      <c r="I5" s="139">
        <v>1.4</v>
      </c>
      <c r="J5" s="139">
        <v>1.3</v>
      </c>
    </row>
  </sheetData>
  <mergeCells count="1">
    <mergeCell ref="B2:J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6"/>
  <sheetViews>
    <sheetView workbookViewId="0">
      <selection activeCell="G10" sqref="G10"/>
    </sheetView>
  </sheetViews>
  <sheetFormatPr defaultColWidth="9" defaultRowHeight="14.25"/>
  <cols>
    <col min="1" max="2" width="12.5" style="141" bestFit="1" customWidth="1" collapsed="1"/>
    <col min="3" max="3" width="19.5" style="141" bestFit="1" customWidth="1" collapsed="1"/>
    <col min="4" max="4" width="20.25" style="141" customWidth="1" collapsed="1"/>
    <col min="5" max="16384" width="9" style="141" collapsed="1"/>
  </cols>
  <sheetData>
    <row r="1" spans="1:6">
      <c r="A1" s="141" t="s">
        <v>192</v>
      </c>
      <c r="B1" s="141" t="s">
        <v>193</v>
      </c>
      <c r="C1" s="141" t="s">
        <v>194</v>
      </c>
    </row>
    <row r="2" spans="1:6">
      <c r="A2" s="142">
        <v>50</v>
      </c>
      <c r="B2" s="142">
        <v>57</v>
      </c>
      <c r="C2" s="142">
        <v>3.5</v>
      </c>
      <c r="D2" s="245" t="s">
        <v>403</v>
      </c>
    </row>
    <row r="3" spans="1:6">
      <c r="A3" s="142">
        <v>80</v>
      </c>
      <c r="B3" s="142">
        <v>89</v>
      </c>
      <c r="C3" s="142">
        <v>4</v>
      </c>
      <c r="D3" s="245"/>
    </row>
    <row r="4" spans="1:6">
      <c r="A4" s="142">
        <v>100</v>
      </c>
      <c r="B4" s="142">
        <v>108</v>
      </c>
      <c r="C4" s="142">
        <v>4</v>
      </c>
      <c r="D4" s="245"/>
    </row>
    <row r="5" spans="1:6">
      <c r="A5" s="142">
        <v>125</v>
      </c>
      <c r="B5" s="142">
        <v>133</v>
      </c>
      <c r="C5" s="142">
        <v>4</v>
      </c>
      <c r="D5" s="245"/>
    </row>
    <row r="6" spans="1:6">
      <c r="A6" s="142">
        <v>150</v>
      </c>
      <c r="B6" s="142">
        <v>159</v>
      </c>
      <c r="C6" s="142">
        <v>4.5</v>
      </c>
      <c r="D6" s="245"/>
    </row>
    <row r="7" spans="1:6">
      <c r="A7" s="142">
        <v>200</v>
      </c>
      <c r="B7" s="142">
        <v>219</v>
      </c>
      <c r="C7" s="142">
        <v>6</v>
      </c>
      <c r="D7" s="245"/>
    </row>
    <row r="8" spans="1:6">
      <c r="A8" s="142">
        <v>250</v>
      </c>
      <c r="B8" s="142">
        <v>273</v>
      </c>
      <c r="C8" s="142">
        <v>8</v>
      </c>
      <c r="D8" s="245"/>
    </row>
    <row r="9" spans="1:6">
      <c r="A9" s="142">
        <v>300</v>
      </c>
      <c r="B9" s="142">
        <v>325</v>
      </c>
      <c r="C9" s="142">
        <v>8</v>
      </c>
      <c r="D9" s="245"/>
    </row>
    <row r="10" spans="1:6">
      <c r="A10" s="142">
        <v>350</v>
      </c>
      <c r="B10" s="142">
        <v>377</v>
      </c>
      <c r="C10" s="142">
        <v>9</v>
      </c>
      <c r="D10" s="245"/>
      <c r="F10" s="205"/>
    </row>
    <row r="11" spans="1:6">
      <c r="A11" s="142">
        <v>400</v>
      </c>
      <c r="B11" s="142">
        <v>426</v>
      </c>
      <c r="C11" s="142">
        <v>9</v>
      </c>
      <c r="D11" s="245"/>
    </row>
    <row r="12" spans="1:6">
      <c r="A12" s="142">
        <v>450</v>
      </c>
      <c r="B12" s="142">
        <v>480</v>
      </c>
      <c r="C12" s="142">
        <v>9</v>
      </c>
      <c r="D12" s="245"/>
    </row>
    <row r="13" spans="1:6">
      <c r="A13" s="142">
        <v>500</v>
      </c>
      <c r="B13" s="142">
        <v>530</v>
      </c>
      <c r="C13" s="142">
        <v>9</v>
      </c>
      <c r="D13" s="245"/>
    </row>
    <row r="14" spans="1:6">
      <c r="A14" s="142">
        <v>600</v>
      </c>
      <c r="B14" s="142">
        <v>630</v>
      </c>
      <c r="C14" s="142">
        <v>9</v>
      </c>
      <c r="D14" s="245"/>
    </row>
    <row r="15" spans="1:6">
      <c r="A15" s="142">
        <v>700</v>
      </c>
      <c r="B15" s="142">
        <v>720</v>
      </c>
      <c r="C15" s="142">
        <v>10</v>
      </c>
      <c r="D15" s="245"/>
    </row>
    <row r="16" spans="1:6">
      <c r="A16" s="142">
        <v>800</v>
      </c>
      <c r="B16" s="142">
        <v>820</v>
      </c>
      <c r="C16" s="142">
        <v>10</v>
      </c>
      <c r="D16" s="245"/>
    </row>
    <row r="17" spans="1:4">
      <c r="A17" s="142">
        <v>900</v>
      </c>
      <c r="B17" s="142">
        <v>920</v>
      </c>
      <c r="C17" s="142">
        <v>10</v>
      </c>
      <c r="D17" s="245"/>
    </row>
    <row r="18" spans="1:4">
      <c r="A18" s="142">
        <v>1000</v>
      </c>
      <c r="B18" s="142">
        <v>1020</v>
      </c>
      <c r="C18" s="142">
        <v>10</v>
      </c>
      <c r="D18" s="245"/>
    </row>
    <row r="19" spans="1:4">
      <c r="A19" s="142">
        <v>1200</v>
      </c>
      <c r="B19" s="142">
        <v>1220</v>
      </c>
      <c r="C19" s="142">
        <v>10</v>
      </c>
      <c r="D19" s="245"/>
    </row>
    <row r="20" spans="1:4">
      <c r="A20" s="141">
        <v>1400</v>
      </c>
      <c r="B20" s="141">
        <v>1420</v>
      </c>
      <c r="C20" s="141">
        <v>11</v>
      </c>
      <c r="D20" s="245" t="s">
        <v>404</v>
      </c>
    </row>
    <row r="21" spans="1:4">
      <c r="A21" s="141">
        <v>1600</v>
      </c>
      <c r="B21" s="141">
        <v>1620</v>
      </c>
      <c r="C21" s="141">
        <v>12</v>
      </c>
      <c r="D21" s="245"/>
    </row>
    <row r="22" spans="1:4">
      <c r="A22" s="141">
        <v>1800</v>
      </c>
      <c r="B22" s="141">
        <v>1820</v>
      </c>
      <c r="C22" s="141">
        <v>14</v>
      </c>
      <c r="D22" s="245"/>
    </row>
    <row r="23" spans="1:4">
      <c r="A23" s="141">
        <v>2000</v>
      </c>
      <c r="B23" s="141">
        <v>2020</v>
      </c>
      <c r="C23" s="141">
        <v>14</v>
      </c>
      <c r="D23" s="245"/>
    </row>
    <row r="24" spans="1:4">
      <c r="A24" s="141">
        <v>2200</v>
      </c>
      <c r="B24" s="141">
        <v>2220</v>
      </c>
      <c r="C24" s="141">
        <v>20</v>
      </c>
    </row>
    <row r="25" spans="1:4">
      <c r="A25" s="141">
        <v>2400</v>
      </c>
      <c r="B25" s="141">
        <v>2420</v>
      </c>
      <c r="C25" s="141">
        <v>20</v>
      </c>
    </row>
    <row r="26" spans="1:4">
      <c r="A26" s="141">
        <v>2600</v>
      </c>
      <c r="B26" s="141">
        <v>2620</v>
      </c>
      <c r="C26" s="141">
        <v>20</v>
      </c>
    </row>
  </sheetData>
  <mergeCells count="2">
    <mergeCell ref="D20:D23"/>
    <mergeCell ref="D2:D19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1"/>
  <sheetViews>
    <sheetView workbookViewId="0">
      <selection activeCell="E25" sqref="E25"/>
    </sheetView>
  </sheetViews>
  <sheetFormatPr defaultColWidth="9" defaultRowHeight="14.25"/>
  <cols>
    <col min="1" max="1" width="12.5" style="141" bestFit="1" customWidth="1" collapsed="1"/>
    <col min="2" max="2" width="14.625" style="141" bestFit="1" customWidth="1" collapsed="1"/>
    <col min="3" max="3" width="17.25" style="141" bestFit="1" customWidth="1" collapsed="1"/>
    <col min="4" max="4" width="22.875" style="141" customWidth="1" collapsed="1"/>
    <col min="5" max="16384" width="9" style="141" collapsed="1"/>
  </cols>
  <sheetData>
    <row r="1" spans="1:4">
      <c r="A1" s="141" t="s">
        <v>192</v>
      </c>
      <c r="B1" s="141" t="s">
        <v>195</v>
      </c>
      <c r="C1" s="141" t="s">
        <v>196</v>
      </c>
    </row>
    <row r="2" spans="1:4">
      <c r="A2" s="141">
        <v>50</v>
      </c>
      <c r="B2" s="141">
        <v>57</v>
      </c>
      <c r="C2" s="141">
        <v>2</v>
      </c>
    </row>
    <row r="3" spans="1:4">
      <c r="A3" s="141">
        <v>80</v>
      </c>
      <c r="B3" s="141">
        <v>89</v>
      </c>
      <c r="C3" s="141">
        <v>3</v>
      </c>
    </row>
    <row r="4" spans="1:4">
      <c r="A4" s="142">
        <v>100</v>
      </c>
      <c r="B4" s="142">
        <v>108</v>
      </c>
      <c r="C4" s="142">
        <v>3</v>
      </c>
      <c r="D4" s="245" t="s">
        <v>403</v>
      </c>
    </row>
    <row r="5" spans="1:4">
      <c r="A5" s="142">
        <v>125</v>
      </c>
      <c r="B5" s="142">
        <v>133</v>
      </c>
      <c r="C5" s="142">
        <v>3</v>
      </c>
      <c r="D5" s="245"/>
    </row>
    <row r="6" spans="1:4">
      <c r="A6" s="142">
        <v>150</v>
      </c>
      <c r="B6" s="142">
        <v>159</v>
      </c>
      <c r="C6" s="142">
        <v>3</v>
      </c>
      <c r="D6" s="245"/>
    </row>
    <row r="7" spans="1:4">
      <c r="A7" s="142">
        <v>200</v>
      </c>
      <c r="B7" s="142">
        <v>219</v>
      </c>
      <c r="C7" s="142">
        <v>3</v>
      </c>
      <c r="D7" s="245"/>
    </row>
    <row r="8" spans="1:4">
      <c r="A8" s="142">
        <v>250</v>
      </c>
      <c r="B8" s="142">
        <v>273</v>
      </c>
      <c r="C8" s="142">
        <v>3</v>
      </c>
      <c r="D8" s="245"/>
    </row>
    <row r="9" spans="1:4">
      <c r="A9" s="142">
        <v>300</v>
      </c>
      <c r="B9" s="142">
        <v>325</v>
      </c>
      <c r="C9" s="142">
        <v>3</v>
      </c>
      <c r="D9" s="245"/>
    </row>
    <row r="10" spans="1:4">
      <c r="A10" s="142">
        <v>350</v>
      </c>
      <c r="B10" s="142">
        <v>377</v>
      </c>
      <c r="C10" s="142">
        <v>3</v>
      </c>
      <c r="D10" s="245"/>
    </row>
    <row r="11" spans="1:4">
      <c r="A11" s="142">
        <v>400</v>
      </c>
      <c r="B11" s="142">
        <v>426</v>
      </c>
      <c r="C11" s="142">
        <v>3</v>
      </c>
      <c r="D11" s="245"/>
    </row>
    <row r="12" spans="1:4">
      <c r="A12" s="142">
        <v>450</v>
      </c>
      <c r="B12" s="142">
        <v>480</v>
      </c>
      <c r="C12" s="142">
        <v>3</v>
      </c>
      <c r="D12" s="245"/>
    </row>
    <row r="13" spans="1:4" ht="15" customHeight="1">
      <c r="A13" s="142">
        <v>500</v>
      </c>
      <c r="B13" s="142">
        <v>530</v>
      </c>
      <c r="C13" s="142">
        <v>4</v>
      </c>
      <c r="D13" s="245"/>
    </row>
    <row r="14" spans="1:4">
      <c r="A14" s="142">
        <v>600</v>
      </c>
      <c r="B14" s="142">
        <v>630</v>
      </c>
      <c r="C14" s="142">
        <v>4</v>
      </c>
      <c r="D14" s="245"/>
    </row>
    <row r="15" spans="1:4">
      <c r="A15" s="142">
        <v>700</v>
      </c>
      <c r="B15" s="142">
        <v>720</v>
      </c>
      <c r="C15" s="142">
        <v>6</v>
      </c>
      <c r="D15" s="245"/>
    </row>
    <row r="16" spans="1:4">
      <c r="A16" s="142">
        <v>800</v>
      </c>
      <c r="B16" s="142">
        <v>820</v>
      </c>
      <c r="C16" s="142">
        <v>6</v>
      </c>
      <c r="D16" s="245"/>
    </row>
    <row r="17" spans="1:4">
      <c r="A17" s="142">
        <v>1000</v>
      </c>
      <c r="B17" s="142">
        <v>1020</v>
      </c>
      <c r="C17" s="142">
        <v>6</v>
      </c>
      <c r="D17" s="245"/>
    </row>
    <row r="18" spans="1:4">
      <c r="A18" s="142">
        <v>1200</v>
      </c>
      <c r="B18" s="142">
        <v>1220</v>
      </c>
      <c r="C18" s="142">
        <v>6</v>
      </c>
      <c r="D18" s="245"/>
    </row>
    <row r="19" spans="1:4">
      <c r="A19" s="141">
        <v>1500</v>
      </c>
      <c r="B19" s="141">
        <v>1520</v>
      </c>
      <c r="C19" s="141">
        <v>8</v>
      </c>
    </row>
    <row r="20" spans="1:4">
      <c r="A20" s="141">
        <v>1800</v>
      </c>
      <c r="B20" s="141">
        <v>1820</v>
      </c>
      <c r="C20" s="141">
        <v>10</v>
      </c>
    </row>
    <row r="21" spans="1:4">
      <c r="A21" s="141">
        <v>2000</v>
      </c>
      <c r="B21" s="141">
        <v>2020</v>
      </c>
      <c r="C21" s="141">
        <v>10</v>
      </c>
    </row>
  </sheetData>
  <mergeCells count="1">
    <mergeCell ref="D4:D18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3"/>
  <sheetViews>
    <sheetView workbookViewId="0">
      <selection activeCell="J20" sqref="J20"/>
    </sheetView>
  </sheetViews>
  <sheetFormatPr defaultRowHeight="14.25"/>
  <sheetData>
    <row r="1" spans="1:3">
      <c r="A1" t="s">
        <v>197</v>
      </c>
    </row>
    <row r="2" spans="1:3">
      <c r="A2" t="s">
        <v>198</v>
      </c>
      <c r="B2" t="s">
        <v>199</v>
      </c>
      <c r="C2" t="s">
        <v>200</v>
      </c>
    </row>
    <row r="3" spans="1:3">
      <c r="A3">
        <v>32</v>
      </c>
      <c r="B3">
        <v>25</v>
      </c>
      <c r="C3">
        <v>2.2999999999999998</v>
      </c>
    </row>
    <row r="4" spans="1:3">
      <c r="A4">
        <v>40</v>
      </c>
      <c r="B4">
        <v>32</v>
      </c>
      <c r="C4">
        <v>2.4</v>
      </c>
    </row>
    <row r="5" spans="1:3">
      <c r="A5">
        <v>50</v>
      </c>
      <c r="B5">
        <v>40</v>
      </c>
      <c r="C5">
        <v>3</v>
      </c>
    </row>
    <row r="6" spans="1:3">
      <c r="A6">
        <v>63</v>
      </c>
      <c r="B6">
        <v>50</v>
      </c>
      <c r="C6">
        <v>3.8</v>
      </c>
    </row>
    <row r="7" spans="1:3">
      <c r="A7">
        <v>75</v>
      </c>
      <c r="B7">
        <v>65</v>
      </c>
      <c r="C7">
        <v>4.5</v>
      </c>
    </row>
    <row r="8" spans="1:3">
      <c r="A8">
        <v>90</v>
      </c>
      <c r="B8">
        <v>80</v>
      </c>
      <c r="C8">
        <v>5.4</v>
      </c>
    </row>
    <row r="9" spans="1:3">
      <c r="A9">
        <v>110</v>
      </c>
      <c r="B9">
        <v>100</v>
      </c>
      <c r="C9">
        <v>6.6</v>
      </c>
    </row>
    <row r="10" spans="1:3">
      <c r="A10">
        <v>125</v>
      </c>
      <c r="B10">
        <v>125</v>
      </c>
      <c r="C10">
        <v>7.4</v>
      </c>
    </row>
    <row r="11" spans="1:3">
      <c r="A11">
        <v>140</v>
      </c>
      <c r="B11">
        <v>125</v>
      </c>
      <c r="C11">
        <v>8.3000000000000007</v>
      </c>
    </row>
    <row r="12" spans="1:3">
      <c r="A12">
        <v>160</v>
      </c>
      <c r="B12">
        <v>150</v>
      </c>
      <c r="C12">
        <v>9.5</v>
      </c>
    </row>
    <row r="13" spans="1:3">
      <c r="A13">
        <v>180</v>
      </c>
      <c r="C13">
        <v>10.7</v>
      </c>
    </row>
    <row r="14" spans="1:3">
      <c r="A14">
        <v>200</v>
      </c>
      <c r="B14">
        <v>200</v>
      </c>
      <c r="C14">
        <v>11.9</v>
      </c>
    </row>
    <row r="15" spans="1:3">
      <c r="A15">
        <v>225</v>
      </c>
      <c r="B15">
        <v>200</v>
      </c>
      <c r="C15">
        <v>13.4</v>
      </c>
    </row>
    <row r="16" spans="1:3">
      <c r="A16">
        <v>250</v>
      </c>
      <c r="B16">
        <v>250</v>
      </c>
      <c r="C16">
        <v>14.8</v>
      </c>
    </row>
    <row r="17" spans="1:3">
      <c r="A17">
        <v>280</v>
      </c>
      <c r="C17">
        <v>16.600000000000001</v>
      </c>
    </row>
    <row r="18" spans="1:3">
      <c r="A18">
        <v>315</v>
      </c>
      <c r="B18">
        <v>300</v>
      </c>
      <c r="C18">
        <v>18.7</v>
      </c>
    </row>
    <row r="19" spans="1:3">
      <c r="A19">
        <v>355</v>
      </c>
      <c r="B19">
        <v>350</v>
      </c>
      <c r="C19">
        <v>21.1</v>
      </c>
    </row>
    <row r="20" spans="1:3">
      <c r="A20">
        <v>400</v>
      </c>
      <c r="B20">
        <v>400</v>
      </c>
      <c r="C20">
        <v>23.7</v>
      </c>
    </row>
    <row r="21" spans="1:3">
      <c r="A21">
        <v>450</v>
      </c>
      <c r="B21">
        <v>450</v>
      </c>
      <c r="C21">
        <v>26.7</v>
      </c>
    </row>
    <row r="22" spans="1:3">
      <c r="A22">
        <v>500</v>
      </c>
      <c r="B22">
        <v>500</v>
      </c>
      <c r="C22">
        <v>29.7</v>
      </c>
    </row>
    <row r="23" spans="1:3">
      <c r="A23">
        <v>560</v>
      </c>
      <c r="C23">
        <v>33.200000000000003</v>
      </c>
    </row>
    <row r="24" spans="1:3">
      <c r="A24">
        <v>630</v>
      </c>
      <c r="B24">
        <v>600</v>
      </c>
      <c r="C24">
        <v>37.4</v>
      </c>
    </row>
    <row r="25" spans="1:3">
      <c r="A25">
        <v>710</v>
      </c>
      <c r="B25">
        <v>700</v>
      </c>
      <c r="C25">
        <v>42.1</v>
      </c>
    </row>
    <row r="26" spans="1:3">
      <c r="A26">
        <v>800</v>
      </c>
      <c r="B26">
        <v>800</v>
      </c>
      <c r="C26">
        <v>47.4</v>
      </c>
    </row>
    <row r="27" spans="1:3">
      <c r="A27">
        <v>900</v>
      </c>
      <c r="B27">
        <v>900</v>
      </c>
      <c r="C27">
        <v>53.3</v>
      </c>
    </row>
    <row r="28" spans="1:3">
      <c r="A28">
        <v>1000</v>
      </c>
      <c r="B28">
        <v>1000</v>
      </c>
      <c r="C28">
        <v>59.3</v>
      </c>
    </row>
    <row r="29" spans="1:3">
      <c r="A29">
        <v>1200</v>
      </c>
      <c r="B29">
        <v>1200</v>
      </c>
      <c r="C29">
        <v>67.900000000000006</v>
      </c>
    </row>
    <row r="30" spans="1:3">
      <c r="A30">
        <v>1400</v>
      </c>
      <c r="B30">
        <v>1400</v>
      </c>
      <c r="C30">
        <v>82.4</v>
      </c>
    </row>
    <row r="31" spans="1:3">
      <c r="A31">
        <v>1600</v>
      </c>
      <c r="B31">
        <v>1600</v>
      </c>
      <c r="C31">
        <v>94.1</v>
      </c>
    </row>
    <row r="32" spans="1:3">
      <c r="A32">
        <v>1800</v>
      </c>
      <c r="B32">
        <v>1800</v>
      </c>
      <c r="C32">
        <v>105.9</v>
      </c>
    </row>
    <row r="33" spans="1:3">
      <c r="A33">
        <v>2000</v>
      </c>
      <c r="B33">
        <v>2000</v>
      </c>
      <c r="C33">
        <v>117.6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69"/>
  <sheetViews>
    <sheetView zoomScaleNormal="100" workbookViewId="0">
      <selection activeCell="C10" sqref="C10"/>
    </sheetView>
  </sheetViews>
  <sheetFormatPr defaultColWidth="9" defaultRowHeight="14.25"/>
  <cols>
    <col min="1" max="1" width="14.875" style="141" customWidth="1" collapsed="1"/>
    <col min="2" max="2" width="32.625" style="141" customWidth="1" collapsed="1"/>
    <col min="3" max="3" width="15.125" style="141" bestFit="1" customWidth="1" collapsed="1"/>
    <col min="4" max="4" width="8.875" style="141" customWidth="1" collapsed="1"/>
    <col min="5" max="5" width="8.25" style="141" customWidth="1" collapsed="1"/>
    <col min="6" max="6" width="17.75" style="200" customWidth="1" collapsed="1"/>
    <col min="7" max="7" width="11.625" style="141" bestFit="1" customWidth="1" collapsed="1"/>
    <col min="8" max="8" width="20.75" style="200" customWidth="1" collapsed="1"/>
    <col min="9" max="16384" width="9" style="141" collapsed="1"/>
  </cols>
  <sheetData>
    <row r="1" spans="1:8" ht="20.25">
      <c r="A1" s="246" t="s">
        <v>215</v>
      </c>
      <c r="B1" s="246"/>
      <c r="C1" s="246"/>
      <c r="D1" s="246"/>
    </row>
    <row r="2" spans="1:8">
      <c r="A2" s="146" t="s">
        <v>216</v>
      </c>
      <c r="B2" s="147"/>
      <c r="C2" s="148" t="s">
        <v>217</v>
      </c>
      <c r="D2" s="147"/>
      <c r="E2" s="149"/>
      <c r="F2" s="201"/>
    </row>
    <row r="3" spans="1:8">
      <c r="A3" s="146" t="s">
        <v>218</v>
      </c>
      <c r="B3" s="146"/>
      <c r="C3" s="150" t="s">
        <v>219</v>
      </c>
      <c r="D3" s="151"/>
      <c r="E3" s="146"/>
      <c r="F3" s="202"/>
    </row>
    <row r="4" spans="1:8" ht="42.75">
      <c r="A4" s="146" t="s">
        <v>220</v>
      </c>
      <c r="B4" s="152" t="s">
        <v>221</v>
      </c>
      <c r="C4" s="150">
        <f ca="1">污水总进水管管径d1</f>
        <v>1200</v>
      </c>
      <c r="D4" s="151" t="s">
        <v>126</v>
      </c>
      <c r="E4" s="146"/>
      <c r="F4" s="202" t="s">
        <v>222</v>
      </c>
    </row>
    <row r="5" spans="1:8">
      <c r="A5" s="146"/>
      <c r="B5" s="152"/>
      <c r="C5" s="146">
        <f ca="1">C4/1000</f>
        <v>1.2</v>
      </c>
      <c r="D5" s="151" t="s">
        <v>223</v>
      </c>
      <c r="E5" s="146"/>
      <c r="F5" s="202"/>
    </row>
    <row r="6" spans="1:8" ht="42.75">
      <c r="A6" s="146" t="s">
        <v>224</v>
      </c>
      <c r="B6" s="152" t="s">
        <v>225</v>
      </c>
      <c r="C6" s="153">
        <v>0.7</v>
      </c>
      <c r="D6" s="151"/>
      <c r="E6" s="154">
        <f ca="1">IF(C2="污水管道",VLOOKUP(C4,A43:C50,3,1),1)</f>
        <v>0.75</v>
      </c>
      <c r="F6" s="202" t="s">
        <v>226</v>
      </c>
      <c r="H6" s="204" t="s">
        <v>227</v>
      </c>
    </row>
    <row r="7" spans="1:8" ht="99.75">
      <c r="A7" s="146" t="s">
        <v>228</v>
      </c>
      <c r="B7" s="152" t="s">
        <v>229</v>
      </c>
      <c r="C7" s="155">
        <f ca="1">E7</f>
        <v>5.9999999999999995E-4</v>
      </c>
      <c r="D7" s="151"/>
      <c r="E7" s="154">
        <f ca="1">IF(C4&gt;=A63,C63,ROUND(TREND(OFFSET(A54,MATCH(C4,A54:A63,1)-1,2,2),OFFSET(A54,MATCH(C4,A54:A63,1)-1,,2),C4),4))</f>
        <v>5.9999999999999995E-4</v>
      </c>
      <c r="F7" s="202" t="s">
        <v>230</v>
      </c>
      <c r="H7" s="204" t="s">
        <v>231</v>
      </c>
    </row>
    <row r="8" spans="1:8">
      <c r="A8" s="146" t="s">
        <v>232</v>
      </c>
      <c r="B8" s="152" t="s">
        <v>233</v>
      </c>
      <c r="C8" s="146">
        <f>VLOOKUP(C3,A27:C39,3,0)</f>
        <v>1.2E-2</v>
      </c>
      <c r="D8" s="151"/>
      <c r="E8" s="146"/>
      <c r="F8" s="202" t="s">
        <v>234</v>
      </c>
    </row>
    <row r="9" spans="1:8">
      <c r="A9" s="146"/>
      <c r="B9" s="152"/>
      <c r="C9" s="146"/>
      <c r="D9" s="151"/>
      <c r="E9" s="146"/>
      <c r="F9" s="202"/>
    </row>
    <row r="10" spans="1:8" ht="16.5">
      <c r="A10" s="146" t="s">
        <v>235</v>
      </c>
      <c r="B10" s="152" t="s">
        <v>236</v>
      </c>
      <c r="C10" s="156">
        <f>4*ASIN(C6^0.5)</f>
        <v>3.9646263457247692</v>
      </c>
      <c r="D10" s="151" t="s">
        <v>237</v>
      </c>
      <c r="E10" s="146"/>
      <c r="F10" s="202"/>
    </row>
    <row r="11" spans="1:8" ht="16.5">
      <c r="A11" s="146" t="s">
        <v>238</v>
      </c>
      <c r="B11" s="152" t="s">
        <v>239</v>
      </c>
      <c r="C11" s="156">
        <f ca="1">C5^2*(C10-SIN(C10))/8</f>
        <v>0.84561092224518664</v>
      </c>
      <c r="D11" s="151" t="s">
        <v>115</v>
      </c>
      <c r="E11" s="146"/>
      <c r="F11" s="202"/>
    </row>
    <row r="12" spans="1:8">
      <c r="A12" s="146" t="s">
        <v>240</v>
      </c>
      <c r="B12" s="152" t="s">
        <v>241</v>
      </c>
      <c r="C12" s="156">
        <f ca="1">C5*C10/2</f>
        <v>2.3787758074348613</v>
      </c>
      <c r="D12" s="151" t="s">
        <v>223</v>
      </c>
      <c r="E12" s="146"/>
      <c r="F12" s="202"/>
    </row>
    <row r="13" spans="1:8">
      <c r="A13" s="146" t="s">
        <v>242</v>
      </c>
      <c r="B13" s="152" t="s">
        <v>243</v>
      </c>
      <c r="C13" s="156">
        <f ca="1">C11/C12</f>
        <v>0.35548155467288284</v>
      </c>
      <c r="D13" s="151" t="s">
        <v>223</v>
      </c>
      <c r="E13" s="146"/>
      <c r="F13" s="202"/>
    </row>
    <row r="14" spans="1:8">
      <c r="A14" s="146"/>
      <c r="B14" s="146"/>
      <c r="C14" s="146"/>
      <c r="D14" s="151"/>
      <c r="E14" s="146"/>
      <c r="F14" s="202"/>
    </row>
    <row r="15" spans="1:8" ht="57">
      <c r="A15" s="146" t="s">
        <v>244</v>
      </c>
      <c r="B15" s="152" t="s">
        <v>245</v>
      </c>
      <c r="C15" s="157">
        <f ca="1">C13^(2/3)*C7^(1/2)/C8</f>
        <v>1.0243281149386185</v>
      </c>
      <c r="D15" s="151" t="s">
        <v>125</v>
      </c>
      <c r="E15" s="158">
        <f>VLOOKUP(C2,A66:C69,3,0)</f>
        <v>0.6</v>
      </c>
      <c r="F15" s="202" t="s">
        <v>246</v>
      </c>
    </row>
    <row r="16" spans="1:8" ht="42.75">
      <c r="A16" s="146" t="s">
        <v>247</v>
      </c>
      <c r="B16" s="152" t="s">
        <v>248</v>
      </c>
      <c r="C16" s="157">
        <f ca="1">C11*C15</f>
        <v>0.8661830419549188</v>
      </c>
      <c r="D16" s="151" t="s">
        <v>249</v>
      </c>
      <c r="E16" s="154">
        <f>IF(OR(C3="钢管",C3="铸铁管"),10,5)</f>
        <v>10</v>
      </c>
      <c r="F16" s="202" t="s">
        <v>250</v>
      </c>
    </row>
    <row r="17" spans="1:8">
      <c r="A17" s="146"/>
      <c r="B17" s="146"/>
      <c r="C17" s="159">
        <f ca="1">C16*3600</f>
        <v>3118.2589510377074</v>
      </c>
      <c r="D17" s="151" t="s">
        <v>251</v>
      </c>
      <c r="E17" s="146"/>
      <c r="F17" s="202"/>
    </row>
    <row r="18" spans="1:8">
      <c r="A18" s="146"/>
      <c r="B18" s="146"/>
      <c r="C18" s="159">
        <f ca="1">C17*24</f>
        <v>74838.214824904979</v>
      </c>
      <c r="D18" s="151" t="s">
        <v>93</v>
      </c>
      <c r="E18" s="146"/>
      <c r="F18" s="202"/>
    </row>
    <row r="22" spans="1:8" ht="15" thickBot="1"/>
    <row r="23" spans="1:8" ht="20.25">
      <c r="A23" s="160" t="s">
        <v>302</v>
      </c>
      <c r="B23" s="161"/>
      <c r="C23" s="162"/>
    </row>
    <row r="24" spans="1:8">
      <c r="A24" s="163"/>
      <c r="C24" s="164"/>
    </row>
    <row r="25" spans="1:8">
      <c r="A25" s="165" t="s">
        <v>252</v>
      </c>
      <c r="C25" s="164"/>
    </row>
    <row r="26" spans="1:8" s="169" customFormat="1">
      <c r="A26" s="166" t="s">
        <v>253</v>
      </c>
      <c r="B26" s="167" t="s">
        <v>254</v>
      </c>
      <c r="C26" s="168" t="s">
        <v>255</v>
      </c>
      <c r="F26" s="203"/>
      <c r="H26" s="203"/>
    </row>
    <row r="27" spans="1:8">
      <c r="A27" s="170" t="s">
        <v>339</v>
      </c>
      <c r="B27" s="167" t="s">
        <v>256</v>
      </c>
      <c r="C27" s="171">
        <v>0.01</v>
      </c>
    </row>
    <row r="28" spans="1:8">
      <c r="A28" s="170" t="s">
        <v>338</v>
      </c>
      <c r="B28" s="167" t="s">
        <v>256</v>
      </c>
      <c r="C28" s="171">
        <v>0.01</v>
      </c>
    </row>
    <row r="29" spans="1:8">
      <c r="A29" s="170" t="s">
        <v>337</v>
      </c>
      <c r="B29" s="167" t="s">
        <v>256</v>
      </c>
      <c r="C29" s="171">
        <v>0.01</v>
      </c>
    </row>
    <row r="30" spans="1:8">
      <c r="A30" s="170" t="s">
        <v>257</v>
      </c>
      <c r="B30" s="167">
        <v>1.2E-2</v>
      </c>
      <c r="C30" s="171">
        <v>1.2E-2</v>
      </c>
    </row>
    <row r="31" spans="1:8">
      <c r="A31" s="170" t="s">
        <v>258</v>
      </c>
      <c r="B31" s="167">
        <v>1.2E-2</v>
      </c>
      <c r="C31" s="171">
        <v>1.2E-2</v>
      </c>
    </row>
    <row r="32" spans="1:8">
      <c r="A32" s="170" t="s">
        <v>259</v>
      </c>
      <c r="B32" s="167" t="s">
        <v>260</v>
      </c>
      <c r="C32" s="171">
        <v>1.2E-2</v>
      </c>
    </row>
    <row r="33" spans="1:8">
      <c r="A33" s="170" t="s">
        <v>342</v>
      </c>
      <c r="B33" s="167" t="s">
        <v>261</v>
      </c>
      <c r="C33" s="171">
        <v>1.4E-2</v>
      </c>
    </row>
    <row r="34" spans="1:8">
      <c r="A34" s="170" t="s">
        <v>341</v>
      </c>
      <c r="B34" s="167" t="s">
        <v>261</v>
      </c>
      <c r="C34" s="171">
        <v>1.4E-2</v>
      </c>
    </row>
    <row r="35" spans="1:8">
      <c r="A35" s="170" t="s">
        <v>340</v>
      </c>
      <c r="B35" s="167" t="s">
        <v>261</v>
      </c>
      <c r="C35" s="171">
        <v>1.4E-2</v>
      </c>
    </row>
    <row r="36" spans="1:8">
      <c r="A36" s="170" t="s">
        <v>262</v>
      </c>
      <c r="B36" s="167">
        <v>1.4999999999999999E-2</v>
      </c>
      <c r="C36" s="171">
        <v>1.4999999999999999E-2</v>
      </c>
    </row>
    <row r="37" spans="1:8">
      <c r="A37" s="170" t="s">
        <v>263</v>
      </c>
      <c r="B37" s="167">
        <v>1.7000000000000001E-2</v>
      </c>
      <c r="C37" s="171">
        <v>1.7000000000000001E-2</v>
      </c>
    </row>
    <row r="38" spans="1:8">
      <c r="A38" s="170" t="s">
        <v>264</v>
      </c>
      <c r="B38" s="167" t="s">
        <v>265</v>
      </c>
      <c r="C38" s="171">
        <v>2.5000000000000001E-2</v>
      </c>
    </row>
    <row r="39" spans="1:8">
      <c r="A39" s="170" t="s">
        <v>266</v>
      </c>
      <c r="B39" s="167" t="s">
        <v>267</v>
      </c>
      <c r="C39" s="171">
        <v>0.03</v>
      </c>
    </row>
    <row r="40" spans="1:8">
      <c r="A40" s="163"/>
      <c r="C40" s="164"/>
    </row>
    <row r="41" spans="1:8">
      <c r="A41" s="165" t="s">
        <v>268</v>
      </c>
      <c r="C41" s="164"/>
    </row>
    <row r="42" spans="1:8" s="169" customFormat="1">
      <c r="A42" s="166" t="s">
        <v>269</v>
      </c>
      <c r="B42" s="167"/>
      <c r="C42" s="168" t="s">
        <v>270</v>
      </c>
      <c r="F42" s="203"/>
      <c r="H42" s="203"/>
    </row>
    <row r="43" spans="1:8">
      <c r="A43" s="166">
        <v>200</v>
      </c>
      <c r="B43" s="167"/>
      <c r="C43" s="168">
        <v>0.55000000000000004</v>
      </c>
    </row>
    <row r="44" spans="1:8">
      <c r="A44" s="166">
        <v>300</v>
      </c>
      <c r="B44" s="167"/>
      <c r="C44" s="168">
        <v>0.55000000000000004</v>
      </c>
    </row>
    <row r="45" spans="1:8">
      <c r="A45" s="166">
        <v>350</v>
      </c>
      <c r="B45" s="167"/>
      <c r="C45" s="168">
        <v>0.65</v>
      </c>
    </row>
    <row r="46" spans="1:8">
      <c r="A46" s="166">
        <v>450</v>
      </c>
      <c r="B46" s="167"/>
      <c r="C46" s="168">
        <v>0.65</v>
      </c>
    </row>
    <row r="47" spans="1:8">
      <c r="A47" s="166">
        <v>500</v>
      </c>
      <c r="B47" s="167"/>
      <c r="C47" s="168">
        <v>0.7</v>
      </c>
    </row>
    <row r="48" spans="1:8">
      <c r="A48" s="166">
        <v>900</v>
      </c>
      <c r="B48" s="167"/>
      <c r="C48" s="168">
        <v>0.7</v>
      </c>
    </row>
    <row r="49" spans="1:3">
      <c r="A49" s="166">
        <v>1000</v>
      </c>
      <c r="B49" s="167"/>
      <c r="C49" s="168">
        <v>0.75</v>
      </c>
    </row>
    <row r="50" spans="1:3">
      <c r="A50" s="166">
        <v>5000</v>
      </c>
      <c r="B50" s="167"/>
      <c r="C50" s="168">
        <v>0.75</v>
      </c>
    </row>
    <row r="51" spans="1:3">
      <c r="A51" s="163"/>
      <c r="C51" s="164"/>
    </row>
    <row r="52" spans="1:3">
      <c r="A52" s="165" t="s">
        <v>271</v>
      </c>
      <c r="C52" s="164"/>
    </row>
    <row r="53" spans="1:3">
      <c r="A53" s="166" t="s">
        <v>220</v>
      </c>
      <c r="B53" s="167"/>
      <c r="C53" s="168" t="s">
        <v>272</v>
      </c>
    </row>
    <row r="54" spans="1:3">
      <c r="A54" s="166">
        <v>200</v>
      </c>
      <c r="B54" s="167"/>
      <c r="C54" s="172">
        <v>0.01</v>
      </c>
    </row>
    <row r="55" spans="1:3">
      <c r="A55" s="166">
        <v>300</v>
      </c>
      <c r="B55" s="167"/>
      <c r="C55" s="168">
        <v>3.0000000000000001E-3</v>
      </c>
    </row>
    <row r="56" spans="1:3">
      <c r="A56" s="166">
        <v>400</v>
      </c>
      <c r="B56" s="167"/>
      <c r="C56" s="168">
        <v>1.5E-3</v>
      </c>
    </row>
    <row r="57" spans="1:3">
      <c r="A57" s="166">
        <v>500</v>
      </c>
      <c r="B57" s="167"/>
      <c r="C57" s="168">
        <v>1.1999999999999999E-3</v>
      </c>
    </row>
    <row r="58" spans="1:3">
      <c r="A58" s="166">
        <v>600</v>
      </c>
      <c r="B58" s="167"/>
      <c r="C58" s="168">
        <v>1E-3</v>
      </c>
    </row>
    <row r="59" spans="1:3">
      <c r="A59" s="166">
        <v>800</v>
      </c>
      <c r="B59" s="167"/>
      <c r="C59" s="168">
        <v>8.0000000000000004E-4</v>
      </c>
    </row>
    <row r="60" spans="1:3">
      <c r="A60" s="166">
        <v>1000</v>
      </c>
      <c r="B60" s="167"/>
      <c r="C60" s="168">
        <v>5.9999999999999995E-4</v>
      </c>
    </row>
    <row r="61" spans="1:3">
      <c r="A61" s="166">
        <v>1200</v>
      </c>
      <c r="B61" s="167"/>
      <c r="C61" s="168">
        <v>5.9999999999999995E-4</v>
      </c>
    </row>
    <row r="62" spans="1:3">
      <c r="A62" s="173">
        <v>1400</v>
      </c>
      <c r="B62" s="174"/>
      <c r="C62" s="175">
        <v>5.0000000000000001E-4</v>
      </c>
    </row>
    <row r="63" spans="1:3">
      <c r="A63" s="166">
        <v>1500</v>
      </c>
      <c r="B63" s="167"/>
      <c r="C63" s="168">
        <v>5.0000000000000001E-4</v>
      </c>
    </row>
    <row r="64" spans="1:3">
      <c r="A64" s="163"/>
      <c r="C64" s="164"/>
    </row>
    <row r="65" spans="1:3">
      <c r="A65" s="165" t="s">
        <v>273</v>
      </c>
      <c r="C65" s="164"/>
    </row>
    <row r="66" spans="1:3">
      <c r="A66" s="170" t="s">
        <v>274</v>
      </c>
      <c r="B66" s="146" t="s">
        <v>275</v>
      </c>
      <c r="C66" s="168">
        <v>0.6</v>
      </c>
    </row>
    <row r="67" spans="1:3">
      <c r="A67" s="170" t="s">
        <v>276</v>
      </c>
      <c r="B67" s="146" t="s">
        <v>277</v>
      </c>
      <c r="C67" s="168">
        <v>0.75</v>
      </c>
    </row>
    <row r="68" spans="1:3">
      <c r="A68" s="170" t="s">
        <v>278</v>
      </c>
      <c r="B68" s="146" t="s">
        <v>277</v>
      </c>
      <c r="C68" s="168">
        <v>0.75</v>
      </c>
    </row>
    <row r="69" spans="1:3" ht="15" thickBot="1">
      <c r="A69" s="176" t="s">
        <v>279</v>
      </c>
      <c r="B69" s="177"/>
      <c r="C69" s="178">
        <v>0.4</v>
      </c>
    </row>
  </sheetData>
  <mergeCells count="1">
    <mergeCell ref="A1:D1"/>
  </mergeCells>
  <phoneticPr fontId="2" type="noConversion"/>
  <dataValidations count="4">
    <dataValidation type="list" allowBlank="1" showInputMessage="1" showErrorMessage="1" sqref="C3">
      <formula1>$A$27:$A$39</formula1>
    </dataValidation>
    <dataValidation type="custom" allowBlank="1" showInputMessage="1" showErrorMessage="1" error="污水管道：≤最大设计充满度_x000a_雨水、合流管道：=1" prompt="规范P28:_x000a_污水管道按非满流计算，_x000a_雨水和合流管道按满流计算。" sqref="C6">
      <formula1>IF(E6=1,C6=E6,C6&lt;=E6)</formula1>
    </dataValidation>
    <dataValidation type="list" allowBlank="1" showInputMessage="1" showErrorMessage="1" sqref="C2">
      <formula1>$A$66:$A$68</formula1>
    </dataValidation>
    <dataValidation type="custom" allowBlank="1" showInputMessage="1" showErrorMessage="1" error="根据室外排水设计规范P30，污水管、雨水管、合流管≥300，雨水口连接管≥200" sqref="C4">
      <formula1>C4&gt;=200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92086587-9389-4094-BC99-688B6CDD1F7F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$E$6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C6</xm:sqref>
        </x14:conditionalFormatting>
        <x14:conditionalFormatting xmlns:xm="http://schemas.microsoft.com/office/excel/2006/main">
          <x14:cfRule type="iconSet" priority="3" id="{F8F1E04D-B617-4DC2-A691-0F673A230437}">
            <x14:iconSet iconSet="3Symbols2" custom="1">
              <x14:cfvo type="percent">
                <xm:f>0</xm:f>
              </x14:cfvo>
              <x14:cfvo type="formula">
                <xm:f>$E$15</xm:f>
              </x14:cfvo>
              <x14:cfvo type="formula">
                <xm:f>$E$16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C15</xm:sqref>
        </x14:conditionalFormatting>
        <x14:conditionalFormatting xmlns:xm="http://schemas.microsoft.com/office/excel/2006/main">
          <x14:cfRule type="iconSet" priority="2" id="{400EA88E-920F-4436-8ADE-72651B460B7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>
                <xm:f>$I$2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H2</xm:sqref>
        </x14:conditionalFormatting>
        <x14:conditionalFormatting xmlns:xm="http://schemas.microsoft.com/office/excel/2006/main">
          <x14:cfRule type="iconSet" priority="1" id="{240864ED-8B89-4404-864C-688FBBF8456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>
                <xm:f>$E$7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C7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211"/>
  <sheetViews>
    <sheetView tabSelected="1" topLeftCell="B1" zoomScale="90" zoomScaleNormal="90" workbookViewId="0">
      <selection activeCell="I130" sqref="I130"/>
    </sheetView>
  </sheetViews>
  <sheetFormatPr defaultColWidth="8.875" defaultRowHeight="13.5"/>
  <cols>
    <col min="1" max="1" width="8.875" style="2" collapsed="1"/>
    <col min="2" max="2" width="14.75" style="2" customWidth="1" collapsed="1"/>
    <col min="3" max="3" width="12.125" style="3" customWidth="1" collapsed="1"/>
    <col min="4" max="4" width="13.875" style="2" customWidth="1" collapsed="1"/>
    <col min="5" max="5" width="9.75" style="2" customWidth="1" collapsed="1"/>
    <col min="6" max="6" width="20.5" style="3" customWidth="1" collapsed="1"/>
    <col min="7" max="7" width="12.625" style="3" customWidth="1" collapsed="1"/>
    <col min="8" max="8" width="23.5" style="2" customWidth="1" collapsed="1"/>
    <col min="9" max="9" width="54.25" style="2" customWidth="1" collapsed="1"/>
    <col min="10" max="10" width="10.375" style="2" customWidth="1" collapsed="1"/>
    <col min="11" max="12" width="8.875" style="4" collapsed="1"/>
    <col min="13" max="13" width="35" style="5" customWidth="1" collapsed="1"/>
    <col min="14" max="16384" width="8.875" style="2" collapsed="1"/>
  </cols>
  <sheetData>
    <row r="1" spans="1:13" s="14" customFormat="1" ht="27.75">
      <c r="A1" s="11" t="s">
        <v>10</v>
      </c>
      <c r="B1" s="20" t="s">
        <v>11</v>
      </c>
      <c r="C1" s="1" t="s">
        <v>12</v>
      </c>
      <c r="D1" s="12" t="s">
        <v>13</v>
      </c>
      <c r="E1" s="1" t="s">
        <v>14</v>
      </c>
      <c r="F1" s="1" t="s">
        <v>15</v>
      </c>
      <c r="G1" s="27" t="s">
        <v>138</v>
      </c>
      <c r="H1" s="28" t="s">
        <v>1</v>
      </c>
      <c r="I1" s="29" t="s">
        <v>335</v>
      </c>
      <c r="J1" s="196" t="s">
        <v>336</v>
      </c>
      <c r="K1" s="197" t="s">
        <v>133</v>
      </c>
      <c r="L1" s="13" t="s">
        <v>16</v>
      </c>
      <c r="M1" s="33" t="s">
        <v>17</v>
      </c>
    </row>
    <row r="2" spans="1:13" ht="25.5">
      <c r="A2" s="252">
        <v>1</v>
      </c>
      <c r="B2" s="253">
        <v>20000</v>
      </c>
      <c r="C2" s="16">
        <f>B2+1</f>
        <v>20001</v>
      </c>
      <c r="D2" s="249" t="str">
        <f>'辅助-模块单元解耦'!C2</f>
        <v>BE-CGS-HZ-2-0.8</v>
      </c>
      <c r="E2" s="249">
        <v>2</v>
      </c>
      <c r="F2" s="17" t="s">
        <v>18</v>
      </c>
      <c r="G2" s="184" t="s">
        <v>19</v>
      </c>
      <c r="H2" s="38" t="s">
        <v>84</v>
      </c>
      <c r="I2" s="21" t="str">
        <f ca="1">CONCATENATE("洞口尺寸600×600mm,N=0.75kW，提升高度0.8m,洞口底部距池顶",过水孔G1底部距池顶高度,"m，双向承压，附壁式安装，单向升杆")</f>
        <v>洞口尺寸600×600mm,N=0.75kW，提升高度0.8m,洞口底部距池顶7.3m，双向承压，附壁式安装，单向升杆</v>
      </c>
      <c r="J2" s="119"/>
      <c r="K2" s="8" t="s">
        <v>21</v>
      </c>
      <c r="L2" s="15">
        <v>2</v>
      </c>
      <c r="M2" s="7" t="s">
        <v>303</v>
      </c>
    </row>
    <row r="3" spans="1:13" ht="45.6" customHeight="1">
      <c r="A3" s="252"/>
      <c r="B3" s="254"/>
      <c r="C3" s="16">
        <f>C2+1</f>
        <v>20002</v>
      </c>
      <c r="D3" s="250"/>
      <c r="E3" s="250"/>
      <c r="F3" s="17" t="s">
        <v>22</v>
      </c>
      <c r="G3" s="184" t="s">
        <v>19</v>
      </c>
      <c r="H3" s="34" t="s">
        <v>23</v>
      </c>
      <c r="I3" s="21" t="str">
        <f ca="1">CONCATENATE("渠宽B=0.9m，设备宽度0.8m，渠深",进水井深度_渠深_H,"m，安装角度α=75°，栅前水深h=0.6m，栅隙b=15mm，N=2.2kW，材质SS304")</f>
        <v>渠宽B=0.9m，设备宽度0.8m，渠深7.6m，安装角度α=75°，栅前水深h=0.6m，栅隙b=15mm，N=2.2kW，材质SS304</v>
      </c>
      <c r="J3" s="119" t="s">
        <v>143</v>
      </c>
      <c r="K3" s="8" t="s">
        <v>24</v>
      </c>
      <c r="L3" s="15">
        <v>2</v>
      </c>
      <c r="M3" s="7" t="s">
        <v>387</v>
      </c>
    </row>
    <row r="4" spans="1:13" ht="25.5">
      <c r="A4" s="252"/>
      <c r="B4" s="254"/>
      <c r="C4" s="16">
        <f t="shared" ref="C4:C15" si="0">C3+1</f>
        <v>20003</v>
      </c>
      <c r="D4" s="250"/>
      <c r="E4" s="250"/>
      <c r="F4" s="17" t="s">
        <v>25</v>
      </c>
      <c r="G4" s="184" t="s">
        <v>19</v>
      </c>
      <c r="H4" s="34" t="s">
        <v>26</v>
      </c>
      <c r="I4" s="21" t="s">
        <v>344</v>
      </c>
      <c r="J4" s="119" t="s">
        <v>143</v>
      </c>
      <c r="K4" s="8" t="s">
        <v>24</v>
      </c>
      <c r="L4" s="15">
        <v>1</v>
      </c>
      <c r="M4" s="7" t="s">
        <v>304</v>
      </c>
    </row>
    <row r="5" spans="1:13" ht="33">
      <c r="A5" s="252"/>
      <c r="B5" s="254"/>
      <c r="C5" s="16">
        <f t="shared" si="0"/>
        <v>20004</v>
      </c>
      <c r="D5" s="250"/>
      <c r="E5" s="250"/>
      <c r="F5" s="17" t="s">
        <v>27</v>
      </c>
      <c r="G5" s="184" t="s">
        <v>19</v>
      </c>
      <c r="H5" s="34" t="s">
        <v>28</v>
      </c>
      <c r="I5" s="7" t="s">
        <v>345</v>
      </c>
      <c r="J5" s="119" t="s">
        <v>146</v>
      </c>
      <c r="K5" s="8" t="s">
        <v>24</v>
      </c>
      <c r="L5" s="15">
        <v>1</v>
      </c>
      <c r="M5" s="7"/>
    </row>
    <row r="6" spans="1:13" ht="25.5">
      <c r="A6" s="252"/>
      <c r="B6" s="254"/>
      <c r="C6" s="16">
        <f t="shared" si="0"/>
        <v>20005</v>
      </c>
      <c r="D6" s="250"/>
      <c r="E6" s="250"/>
      <c r="F6" s="17" t="s">
        <v>29</v>
      </c>
      <c r="G6" s="184" t="s">
        <v>19</v>
      </c>
      <c r="H6" s="34" t="s">
        <v>20</v>
      </c>
      <c r="I6" s="21" t="str">
        <f ca="1">CONCATENATE("洞口尺寸600×600mm,N=0.75kW，提升高度0.8m,洞口底部距池顶",过水孔G2底部距池顶高度,"m，双向承压，附壁式安装，单向升杆")</f>
        <v>洞口尺寸600×600mm,N=0.75kW，提升高度0.8m,洞口底部距池顶7.6m，双向承压，附壁式安装，单向升杆</v>
      </c>
      <c r="J6" s="119"/>
      <c r="K6" s="8" t="s">
        <v>24</v>
      </c>
      <c r="L6" s="15">
        <v>2</v>
      </c>
      <c r="M6" s="7" t="s">
        <v>305</v>
      </c>
    </row>
    <row r="7" spans="1:13" ht="16.5">
      <c r="A7" s="252"/>
      <c r="B7" s="254"/>
      <c r="C7" s="16">
        <f t="shared" si="0"/>
        <v>20006</v>
      </c>
      <c r="D7" s="250"/>
      <c r="E7" s="250"/>
      <c r="F7" s="17"/>
      <c r="G7" s="184" t="s">
        <v>30</v>
      </c>
      <c r="H7" s="35" t="s">
        <v>31</v>
      </c>
      <c r="I7" s="22" t="s">
        <v>377</v>
      </c>
      <c r="J7" s="119" t="s">
        <v>148</v>
      </c>
      <c r="K7" s="9" t="s">
        <v>32</v>
      </c>
      <c r="L7" s="9">
        <v>2</v>
      </c>
      <c r="M7" s="32" t="s">
        <v>307</v>
      </c>
    </row>
    <row r="8" spans="1:13" ht="16.5">
      <c r="A8" s="252"/>
      <c r="B8" s="254"/>
      <c r="C8" s="42">
        <f t="shared" si="0"/>
        <v>20007</v>
      </c>
      <c r="D8" s="250"/>
      <c r="E8" s="250"/>
      <c r="F8" s="17"/>
      <c r="G8" s="184" t="s">
        <v>30</v>
      </c>
      <c r="H8" s="35" t="s">
        <v>33</v>
      </c>
      <c r="I8" s="30" t="s">
        <v>346</v>
      </c>
      <c r="J8" s="119" t="s">
        <v>148</v>
      </c>
      <c r="K8" s="9" t="s">
        <v>32</v>
      </c>
      <c r="L8" s="9">
        <v>2</v>
      </c>
      <c r="M8" s="32" t="s">
        <v>308</v>
      </c>
    </row>
    <row r="9" spans="1:13" ht="16.5">
      <c r="A9" s="252"/>
      <c r="B9" s="254"/>
      <c r="C9" s="42">
        <f t="shared" si="0"/>
        <v>20008</v>
      </c>
      <c r="D9" s="250"/>
      <c r="E9" s="250"/>
      <c r="F9" s="23"/>
      <c r="G9" s="184" t="s">
        <v>30</v>
      </c>
      <c r="H9" s="36" t="s">
        <v>78</v>
      </c>
      <c r="I9" s="30" t="s">
        <v>347</v>
      </c>
      <c r="J9" s="119" t="s">
        <v>148</v>
      </c>
      <c r="K9" s="31" t="s">
        <v>79</v>
      </c>
      <c r="L9" s="9">
        <v>1</v>
      </c>
      <c r="M9" s="10"/>
    </row>
    <row r="10" spans="1:13" ht="16.5">
      <c r="A10" s="252"/>
      <c r="B10" s="254"/>
      <c r="C10" s="42">
        <f t="shared" si="0"/>
        <v>20009</v>
      </c>
      <c r="D10" s="250"/>
      <c r="E10" s="250"/>
      <c r="F10" s="23"/>
      <c r="G10" s="184" t="s">
        <v>30</v>
      </c>
      <c r="H10" s="36" t="s">
        <v>78</v>
      </c>
      <c r="I10" s="30" t="s">
        <v>348</v>
      </c>
      <c r="J10" s="119" t="s">
        <v>148</v>
      </c>
      <c r="K10" s="31" t="s">
        <v>79</v>
      </c>
      <c r="L10" s="9">
        <v>1</v>
      </c>
      <c r="M10" s="10"/>
    </row>
    <row r="11" spans="1:13" ht="16.5">
      <c r="A11" s="252"/>
      <c r="B11" s="254"/>
      <c r="C11" s="42">
        <f t="shared" si="0"/>
        <v>20010</v>
      </c>
      <c r="D11" s="250"/>
      <c r="E11" s="250"/>
      <c r="F11" s="40"/>
      <c r="G11" s="184" t="s">
        <v>30</v>
      </c>
      <c r="H11" s="43" t="s">
        <v>85</v>
      </c>
      <c r="I11" s="30" t="s">
        <v>392</v>
      </c>
      <c r="J11" s="119" t="s">
        <v>148</v>
      </c>
      <c r="K11" s="31" t="s">
        <v>86</v>
      </c>
      <c r="L11" s="9">
        <v>2</v>
      </c>
      <c r="M11" s="44" t="s">
        <v>152</v>
      </c>
    </row>
    <row r="12" spans="1:13" ht="16.5">
      <c r="A12" s="252"/>
      <c r="B12" s="254"/>
      <c r="C12" s="42">
        <f t="shared" si="0"/>
        <v>20011</v>
      </c>
      <c r="D12" s="250"/>
      <c r="E12" s="250"/>
      <c r="F12" s="40"/>
      <c r="G12" s="184" t="s">
        <v>30</v>
      </c>
      <c r="H12" s="43" t="s">
        <v>85</v>
      </c>
      <c r="I12" s="30" t="s">
        <v>349</v>
      </c>
      <c r="J12" s="119" t="s">
        <v>148</v>
      </c>
      <c r="K12" s="31" t="s">
        <v>86</v>
      </c>
      <c r="L12" s="9">
        <v>2</v>
      </c>
      <c r="M12" s="44" t="s">
        <v>309</v>
      </c>
    </row>
    <row r="13" spans="1:13" ht="16.5">
      <c r="A13" s="252"/>
      <c r="B13" s="254"/>
      <c r="C13" s="42">
        <f t="shared" si="0"/>
        <v>20012</v>
      </c>
      <c r="D13" s="250"/>
      <c r="E13" s="250"/>
      <c r="F13" s="40"/>
      <c r="G13" s="184" t="s">
        <v>30</v>
      </c>
      <c r="H13" s="43" t="s">
        <v>85</v>
      </c>
      <c r="I13" s="22" t="s">
        <v>379</v>
      </c>
      <c r="J13" s="119" t="s">
        <v>148</v>
      </c>
      <c r="K13" s="31" t="s">
        <v>86</v>
      </c>
      <c r="L13" s="9">
        <v>2</v>
      </c>
      <c r="M13" s="44" t="s">
        <v>310</v>
      </c>
    </row>
    <row r="14" spans="1:13" ht="16.5">
      <c r="A14" s="252"/>
      <c r="B14" s="254"/>
      <c r="C14" s="42">
        <f t="shared" si="0"/>
        <v>20013</v>
      </c>
      <c r="D14" s="250"/>
      <c r="E14" s="250"/>
      <c r="F14" s="17"/>
      <c r="G14" s="17" t="s">
        <v>34</v>
      </c>
      <c r="H14" s="35" t="s">
        <v>35</v>
      </c>
      <c r="I14" s="6"/>
      <c r="J14" s="118"/>
      <c r="K14" s="17" t="s">
        <v>8</v>
      </c>
      <c r="L14" s="17" t="s">
        <v>311</v>
      </c>
      <c r="M14" s="10"/>
    </row>
    <row r="15" spans="1:13" ht="16.5">
      <c r="A15" s="252"/>
      <c r="B15" s="255"/>
      <c r="C15" s="42">
        <f t="shared" si="0"/>
        <v>20014</v>
      </c>
      <c r="D15" s="251"/>
      <c r="E15" s="251"/>
      <c r="F15" s="17"/>
      <c r="G15" s="15" t="s">
        <v>36</v>
      </c>
      <c r="H15" s="35" t="s">
        <v>37</v>
      </c>
      <c r="I15" s="6" t="s">
        <v>350</v>
      </c>
      <c r="J15" s="118"/>
      <c r="K15" s="9" t="s">
        <v>38</v>
      </c>
      <c r="L15" s="9">
        <v>2</v>
      </c>
      <c r="M15" s="10" t="s">
        <v>312</v>
      </c>
    </row>
    <row r="16" spans="1:13" ht="25.5">
      <c r="A16" s="252">
        <v>2</v>
      </c>
      <c r="B16" s="253">
        <v>30000</v>
      </c>
      <c r="C16" s="16">
        <f>B16+1</f>
        <v>30001</v>
      </c>
      <c r="D16" s="249" t="str">
        <f>'辅助-模块单元解耦'!D2</f>
        <v>BE-CGS-HZ-3-1</v>
      </c>
      <c r="E16" s="249">
        <v>2</v>
      </c>
      <c r="F16" s="17" t="s">
        <v>18</v>
      </c>
      <c r="G16" s="184" t="s">
        <v>19</v>
      </c>
      <c r="H16" s="34" t="s">
        <v>20</v>
      </c>
      <c r="I16" s="7" t="str">
        <f ca="1">CONCATENATE("洞口尺寸700×700mm,N=0.75kW，提升高度0.9m,洞口底部距池顶",过水孔G1底部距池顶高度,"m，双向承压，附壁式安装，单向升杆")</f>
        <v>洞口尺寸700×700mm,N=0.75kW，提升高度0.9m,洞口底部距池顶7.3m，双向承压，附壁式安装，单向升杆</v>
      </c>
      <c r="J16" s="119"/>
      <c r="K16" s="8" t="s">
        <v>21</v>
      </c>
      <c r="L16" s="15">
        <v>2</v>
      </c>
      <c r="M16" s="7" t="s">
        <v>303</v>
      </c>
    </row>
    <row r="17" spans="1:13" ht="45.6" customHeight="1">
      <c r="A17" s="252"/>
      <c r="B17" s="254"/>
      <c r="C17" s="16">
        <f>C16+1</f>
        <v>30002</v>
      </c>
      <c r="D17" s="250"/>
      <c r="E17" s="250"/>
      <c r="F17" s="17" t="s">
        <v>22</v>
      </c>
      <c r="G17" s="184" t="s">
        <v>19</v>
      </c>
      <c r="H17" s="34" t="s">
        <v>23</v>
      </c>
      <c r="I17" s="7" t="str">
        <f ca="1">CONCATENATE("渠宽B=1.1m，设备宽度1m，渠深",进水井深度_渠深_H,"m，安装角度α=75°，栅前水深h=0.7m，栅隙b=15mm，N=2.2kW，材质SS304")</f>
        <v>渠宽B=1.1m，设备宽度1m，渠深7.6m，安装角度α=75°，栅前水深h=0.7m，栅隙b=15mm，N=2.2kW，材质SS304</v>
      </c>
      <c r="J17" s="119" t="s">
        <v>143</v>
      </c>
      <c r="K17" s="8" t="s">
        <v>24</v>
      </c>
      <c r="L17" s="15">
        <v>2</v>
      </c>
      <c r="M17" s="7" t="s">
        <v>387</v>
      </c>
    </row>
    <row r="18" spans="1:13" ht="25.5">
      <c r="A18" s="252"/>
      <c r="B18" s="254"/>
      <c r="C18" s="16">
        <f t="shared" ref="C18:C29" si="1">C17+1</f>
        <v>30003</v>
      </c>
      <c r="D18" s="250"/>
      <c r="E18" s="250"/>
      <c r="F18" s="17" t="s">
        <v>25</v>
      </c>
      <c r="G18" s="184" t="s">
        <v>19</v>
      </c>
      <c r="H18" s="34" t="s">
        <v>26</v>
      </c>
      <c r="I18" s="21" t="s">
        <v>351</v>
      </c>
      <c r="J18" s="119" t="s">
        <v>143</v>
      </c>
      <c r="K18" s="8" t="s">
        <v>24</v>
      </c>
      <c r="L18" s="15">
        <v>1</v>
      </c>
      <c r="M18" s="7" t="s">
        <v>304</v>
      </c>
    </row>
    <row r="19" spans="1:13" ht="33">
      <c r="A19" s="252"/>
      <c r="B19" s="254"/>
      <c r="C19" s="16">
        <f t="shared" si="1"/>
        <v>30004</v>
      </c>
      <c r="D19" s="250"/>
      <c r="E19" s="250"/>
      <c r="F19" s="17" t="s">
        <v>27</v>
      </c>
      <c r="G19" s="184" t="s">
        <v>19</v>
      </c>
      <c r="H19" s="34" t="s">
        <v>28</v>
      </c>
      <c r="I19" s="7" t="s">
        <v>345</v>
      </c>
      <c r="J19" s="119" t="s">
        <v>146</v>
      </c>
      <c r="K19" s="8" t="s">
        <v>24</v>
      </c>
      <c r="L19" s="15">
        <v>1</v>
      </c>
      <c r="M19" s="7"/>
    </row>
    <row r="20" spans="1:13" ht="25.5">
      <c r="A20" s="252"/>
      <c r="B20" s="254"/>
      <c r="C20" s="16">
        <f t="shared" si="1"/>
        <v>30005</v>
      </c>
      <c r="D20" s="250"/>
      <c r="E20" s="250"/>
      <c r="F20" s="17" t="s">
        <v>29</v>
      </c>
      <c r="G20" s="184" t="s">
        <v>19</v>
      </c>
      <c r="H20" s="34" t="s">
        <v>20</v>
      </c>
      <c r="I20" s="21" t="str">
        <f ca="1">CONCATENATE("洞口尺寸700×700mm,N=0.75kW，提升高度0.9m,洞口底部距池顶",过水孔G2底部距池顶高度,"m，双向承压，附壁式安装，单向升杆")</f>
        <v>洞口尺寸700×700mm,N=0.75kW，提升高度0.9m,洞口底部距池顶7.6m，双向承压，附壁式安装，单向升杆</v>
      </c>
      <c r="J20" s="119"/>
      <c r="K20" s="8" t="s">
        <v>24</v>
      </c>
      <c r="L20" s="15">
        <v>2</v>
      </c>
      <c r="M20" s="7" t="s">
        <v>305</v>
      </c>
    </row>
    <row r="21" spans="1:13" ht="16.5">
      <c r="A21" s="252"/>
      <c r="B21" s="254"/>
      <c r="C21" s="16">
        <f t="shared" si="1"/>
        <v>30006</v>
      </c>
      <c r="D21" s="250"/>
      <c r="E21" s="250"/>
      <c r="F21" s="17"/>
      <c r="G21" s="184" t="s">
        <v>30</v>
      </c>
      <c r="H21" s="35" t="s">
        <v>31</v>
      </c>
      <c r="I21" s="22" t="s">
        <v>393</v>
      </c>
      <c r="J21" s="119" t="s">
        <v>148</v>
      </c>
      <c r="K21" s="9" t="s">
        <v>32</v>
      </c>
      <c r="L21" s="9">
        <v>2</v>
      </c>
      <c r="M21" s="32" t="s">
        <v>307</v>
      </c>
    </row>
    <row r="22" spans="1:13" ht="16.5">
      <c r="A22" s="252"/>
      <c r="B22" s="254"/>
      <c r="C22" s="16">
        <f t="shared" si="1"/>
        <v>30007</v>
      </c>
      <c r="D22" s="250"/>
      <c r="E22" s="250"/>
      <c r="F22" s="17"/>
      <c r="G22" s="184" t="s">
        <v>30</v>
      </c>
      <c r="H22" s="35" t="s">
        <v>33</v>
      </c>
      <c r="I22" s="30" t="s">
        <v>346</v>
      </c>
      <c r="J22" s="119" t="s">
        <v>148</v>
      </c>
      <c r="K22" s="9" t="s">
        <v>32</v>
      </c>
      <c r="L22" s="9">
        <v>2</v>
      </c>
      <c r="M22" s="32" t="s">
        <v>308</v>
      </c>
    </row>
    <row r="23" spans="1:13" ht="16.5">
      <c r="A23" s="252"/>
      <c r="B23" s="254"/>
      <c r="C23" s="24">
        <f t="shared" si="1"/>
        <v>30008</v>
      </c>
      <c r="D23" s="250"/>
      <c r="E23" s="250"/>
      <c r="F23" s="23"/>
      <c r="G23" s="184" t="s">
        <v>30</v>
      </c>
      <c r="H23" s="36" t="s">
        <v>78</v>
      </c>
      <c r="I23" s="30" t="s">
        <v>352</v>
      </c>
      <c r="J23" s="119" t="s">
        <v>148</v>
      </c>
      <c r="K23" s="31" t="s">
        <v>79</v>
      </c>
      <c r="L23" s="9">
        <v>1</v>
      </c>
      <c r="M23" s="10"/>
    </row>
    <row r="24" spans="1:13" ht="16.5">
      <c r="A24" s="252"/>
      <c r="B24" s="254"/>
      <c r="C24" s="24">
        <f t="shared" si="1"/>
        <v>30009</v>
      </c>
      <c r="D24" s="250"/>
      <c r="E24" s="250"/>
      <c r="F24" s="23"/>
      <c r="G24" s="184" t="s">
        <v>30</v>
      </c>
      <c r="H24" s="36" t="s">
        <v>78</v>
      </c>
      <c r="I24" s="30" t="s">
        <v>348</v>
      </c>
      <c r="J24" s="119" t="s">
        <v>148</v>
      </c>
      <c r="K24" s="31" t="s">
        <v>79</v>
      </c>
      <c r="L24" s="9">
        <v>1</v>
      </c>
      <c r="M24" s="10"/>
    </row>
    <row r="25" spans="1:13" ht="16.5">
      <c r="A25" s="252"/>
      <c r="B25" s="254"/>
      <c r="C25" s="42">
        <f t="shared" si="1"/>
        <v>30010</v>
      </c>
      <c r="D25" s="250"/>
      <c r="E25" s="250"/>
      <c r="F25" s="40"/>
      <c r="G25" s="184" t="s">
        <v>30</v>
      </c>
      <c r="H25" s="43" t="s">
        <v>85</v>
      </c>
      <c r="I25" s="30" t="s">
        <v>392</v>
      </c>
      <c r="J25" s="119" t="s">
        <v>148</v>
      </c>
      <c r="K25" s="31" t="s">
        <v>86</v>
      </c>
      <c r="L25" s="9">
        <v>2</v>
      </c>
      <c r="M25" s="44" t="s">
        <v>152</v>
      </c>
    </row>
    <row r="26" spans="1:13" ht="16.5">
      <c r="A26" s="252"/>
      <c r="B26" s="254"/>
      <c r="C26" s="42">
        <f t="shared" si="1"/>
        <v>30011</v>
      </c>
      <c r="D26" s="250"/>
      <c r="E26" s="250"/>
      <c r="F26" s="40"/>
      <c r="G26" s="184" t="s">
        <v>30</v>
      </c>
      <c r="H26" s="43" t="s">
        <v>85</v>
      </c>
      <c r="I26" s="30" t="s">
        <v>353</v>
      </c>
      <c r="J26" s="119" t="s">
        <v>148</v>
      </c>
      <c r="K26" s="31" t="s">
        <v>86</v>
      </c>
      <c r="L26" s="9">
        <v>2</v>
      </c>
      <c r="M26" s="44" t="s">
        <v>309</v>
      </c>
    </row>
    <row r="27" spans="1:13" ht="16.5">
      <c r="A27" s="252"/>
      <c r="B27" s="254"/>
      <c r="C27" s="42">
        <f t="shared" si="1"/>
        <v>30012</v>
      </c>
      <c r="D27" s="250"/>
      <c r="E27" s="250"/>
      <c r="F27" s="40"/>
      <c r="G27" s="184" t="s">
        <v>30</v>
      </c>
      <c r="H27" s="43" t="s">
        <v>85</v>
      </c>
      <c r="I27" s="30" t="s">
        <v>383</v>
      </c>
      <c r="J27" s="119" t="s">
        <v>148</v>
      </c>
      <c r="K27" s="31" t="s">
        <v>86</v>
      </c>
      <c r="L27" s="9">
        <v>2</v>
      </c>
      <c r="M27" s="44" t="s">
        <v>310</v>
      </c>
    </row>
    <row r="28" spans="1:13" ht="16.5">
      <c r="A28" s="252"/>
      <c r="B28" s="254"/>
      <c r="C28" s="42">
        <f t="shared" si="1"/>
        <v>30013</v>
      </c>
      <c r="D28" s="250"/>
      <c r="E28" s="250"/>
      <c r="F28" s="17"/>
      <c r="G28" s="184" t="s">
        <v>34</v>
      </c>
      <c r="H28" s="35" t="s">
        <v>35</v>
      </c>
      <c r="I28" s="6"/>
      <c r="J28" s="118"/>
      <c r="K28" s="17" t="s">
        <v>8</v>
      </c>
      <c r="L28" s="17" t="s">
        <v>311</v>
      </c>
      <c r="M28" s="10"/>
    </row>
    <row r="29" spans="1:13" ht="16.5">
      <c r="A29" s="252"/>
      <c r="B29" s="255"/>
      <c r="C29" s="42">
        <f t="shared" si="1"/>
        <v>30014</v>
      </c>
      <c r="D29" s="251"/>
      <c r="E29" s="251"/>
      <c r="F29" s="17"/>
      <c r="G29" s="185" t="s">
        <v>36</v>
      </c>
      <c r="H29" s="35" t="s">
        <v>37</v>
      </c>
      <c r="I29" s="10" t="s">
        <v>350</v>
      </c>
      <c r="J29" s="118"/>
      <c r="K29" s="9" t="s">
        <v>38</v>
      </c>
      <c r="L29" s="9">
        <v>2</v>
      </c>
      <c r="M29" s="10" t="s">
        <v>312</v>
      </c>
    </row>
    <row r="30" spans="1:13" ht="25.5">
      <c r="A30" s="247">
        <v>3</v>
      </c>
      <c r="B30" s="249">
        <v>40000</v>
      </c>
      <c r="C30" s="18">
        <f>B30+1</f>
        <v>40001</v>
      </c>
      <c r="D30" s="249" t="str">
        <f>'辅助-模块单元解耦'!E2</f>
        <v>BE-CGS-SS-4-1.2</v>
      </c>
      <c r="E30" s="249">
        <v>2</v>
      </c>
      <c r="F30" s="17" t="s">
        <v>39</v>
      </c>
      <c r="G30" s="184" t="s">
        <v>19</v>
      </c>
      <c r="H30" s="34" t="s">
        <v>20</v>
      </c>
      <c r="I30" s="21" t="str">
        <f ca="1">CONCATENATE("洞口尺寸800×800mm,N=0.75kW，提升高度1m,洞口底部距池顶",过水孔G1底部距池顶高度,"m，双向承压，附壁式安装，单向升杆")</f>
        <v>洞口尺寸800×800mm,N=0.75kW，提升高度1m,洞口底部距池顶7.3m，双向承压，附壁式安装，单向升杆</v>
      </c>
      <c r="J30" s="119"/>
      <c r="K30" s="8" t="s">
        <v>21</v>
      </c>
      <c r="L30" s="15">
        <v>2</v>
      </c>
      <c r="M30" s="7" t="s">
        <v>303</v>
      </c>
    </row>
    <row r="31" spans="1:13" ht="25.5">
      <c r="A31" s="248"/>
      <c r="B31" s="250"/>
      <c r="C31" s="19">
        <f>C30+1</f>
        <v>40002</v>
      </c>
      <c r="D31" s="250"/>
      <c r="E31" s="250"/>
      <c r="F31" s="17" t="s">
        <v>40</v>
      </c>
      <c r="G31" s="184" t="s">
        <v>19</v>
      </c>
      <c r="H31" s="34" t="s">
        <v>41</v>
      </c>
      <c r="I31" s="7" t="str">
        <f ca="1">CONCATENATE("渠宽B=1.3m，设备宽度1.2m，渠深",进水井深度_渠深_H,"m，安装角度α=75°，栅前水深h=0.7m，栅隙b=15mm，N=2.2kW，材质SS304")</f>
        <v>渠宽B=1.3m，设备宽度1.2m，渠深7.6m，安装角度α=75°，栅前水深h=0.7m，栅隙b=15mm，N=2.2kW，材质SS304</v>
      </c>
      <c r="J31" s="119" t="s">
        <v>143</v>
      </c>
      <c r="K31" s="8" t="s">
        <v>24</v>
      </c>
      <c r="L31" s="15">
        <v>2</v>
      </c>
      <c r="M31" s="7" t="s">
        <v>387</v>
      </c>
    </row>
    <row r="32" spans="1:13" ht="25.5">
      <c r="A32" s="248"/>
      <c r="B32" s="250"/>
      <c r="C32" s="19">
        <f t="shared" ref="C32:C43" si="2">C31+1</f>
        <v>40003</v>
      </c>
      <c r="D32" s="250"/>
      <c r="E32" s="250"/>
      <c r="F32" s="17" t="s">
        <v>42</v>
      </c>
      <c r="G32" s="184" t="s">
        <v>19</v>
      </c>
      <c r="H32" s="34" t="s">
        <v>26</v>
      </c>
      <c r="I32" s="21" t="s">
        <v>354</v>
      </c>
      <c r="J32" s="119" t="s">
        <v>143</v>
      </c>
      <c r="K32" s="8" t="s">
        <v>24</v>
      </c>
      <c r="L32" s="15">
        <v>1</v>
      </c>
      <c r="M32" s="7" t="s">
        <v>304</v>
      </c>
    </row>
    <row r="33" spans="1:13" ht="33">
      <c r="A33" s="248"/>
      <c r="B33" s="250"/>
      <c r="C33" s="19">
        <f t="shared" si="2"/>
        <v>40004</v>
      </c>
      <c r="D33" s="250"/>
      <c r="E33" s="250"/>
      <c r="F33" s="17" t="s">
        <v>43</v>
      </c>
      <c r="G33" s="184" t="s">
        <v>19</v>
      </c>
      <c r="H33" s="34" t="s">
        <v>28</v>
      </c>
      <c r="I33" s="7" t="s">
        <v>345</v>
      </c>
      <c r="J33" s="119" t="s">
        <v>146</v>
      </c>
      <c r="K33" s="8" t="s">
        <v>24</v>
      </c>
      <c r="L33" s="15">
        <v>1</v>
      </c>
      <c r="M33" s="7"/>
    </row>
    <row r="34" spans="1:13" ht="25.5">
      <c r="A34" s="248"/>
      <c r="B34" s="250"/>
      <c r="C34" s="19">
        <f t="shared" si="2"/>
        <v>40005</v>
      </c>
      <c r="D34" s="250"/>
      <c r="E34" s="250"/>
      <c r="F34" s="17" t="s">
        <v>44</v>
      </c>
      <c r="G34" s="184" t="s">
        <v>19</v>
      </c>
      <c r="H34" s="34" t="s">
        <v>20</v>
      </c>
      <c r="I34" s="7" t="str">
        <f ca="1">CONCATENATE("洞口尺寸800×800mm,N=0.75kW，提升高度1m,洞口底部距池顶",过水孔G2底部距池顶高度,"m，双向承压，附壁式安装，单向升杆")</f>
        <v>洞口尺寸800×800mm,N=0.75kW，提升高度1m,洞口底部距池顶7.6m，双向承压，附壁式安装，单向升杆</v>
      </c>
      <c r="J34" s="119"/>
      <c r="K34" s="8" t="s">
        <v>24</v>
      </c>
      <c r="L34" s="15">
        <v>2</v>
      </c>
      <c r="M34" s="7" t="s">
        <v>305</v>
      </c>
    </row>
    <row r="35" spans="1:13" ht="16.5">
      <c r="A35" s="248"/>
      <c r="B35" s="250"/>
      <c r="C35" s="19">
        <f t="shared" si="2"/>
        <v>40006</v>
      </c>
      <c r="D35" s="250"/>
      <c r="E35" s="250"/>
      <c r="F35" s="17"/>
      <c r="G35" s="184" t="s">
        <v>30</v>
      </c>
      <c r="H35" s="35" t="s">
        <v>31</v>
      </c>
      <c r="I35" s="22" t="s">
        <v>394</v>
      </c>
      <c r="J35" s="119" t="s">
        <v>148</v>
      </c>
      <c r="K35" s="9" t="s">
        <v>32</v>
      </c>
      <c r="L35" s="9">
        <v>2</v>
      </c>
      <c r="M35" s="32" t="s">
        <v>307</v>
      </c>
    </row>
    <row r="36" spans="1:13" ht="16.5">
      <c r="A36" s="248"/>
      <c r="B36" s="250"/>
      <c r="C36" s="19">
        <f t="shared" si="2"/>
        <v>40007</v>
      </c>
      <c r="D36" s="250"/>
      <c r="E36" s="250"/>
      <c r="F36" s="17"/>
      <c r="G36" s="184" t="s">
        <v>30</v>
      </c>
      <c r="H36" s="35" t="s">
        <v>33</v>
      </c>
      <c r="I36" s="30" t="s">
        <v>355</v>
      </c>
      <c r="J36" s="119" t="s">
        <v>148</v>
      </c>
      <c r="K36" s="9" t="s">
        <v>32</v>
      </c>
      <c r="L36" s="9">
        <v>2</v>
      </c>
      <c r="M36" s="32" t="s">
        <v>308</v>
      </c>
    </row>
    <row r="37" spans="1:13" ht="16.5">
      <c r="A37" s="248"/>
      <c r="B37" s="250"/>
      <c r="C37" s="26">
        <f t="shared" si="2"/>
        <v>40008</v>
      </c>
      <c r="D37" s="250"/>
      <c r="E37" s="250"/>
      <c r="F37" s="23"/>
      <c r="G37" s="184" t="s">
        <v>30</v>
      </c>
      <c r="H37" s="36" t="s">
        <v>78</v>
      </c>
      <c r="I37" s="30" t="s">
        <v>80</v>
      </c>
      <c r="J37" s="119" t="s">
        <v>148</v>
      </c>
      <c r="K37" s="31" t="s">
        <v>79</v>
      </c>
      <c r="L37" s="9">
        <v>1</v>
      </c>
      <c r="M37" s="10"/>
    </row>
    <row r="38" spans="1:13" ht="16.5">
      <c r="A38" s="248"/>
      <c r="B38" s="250"/>
      <c r="C38" s="26">
        <f t="shared" si="2"/>
        <v>40009</v>
      </c>
      <c r="D38" s="250"/>
      <c r="E38" s="250"/>
      <c r="F38" s="23"/>
      <c r="G38" s="184" t="s">
        <v>30</v>
      </c>
      <c r="H38" s="36" t="s">
        <v>78</v>
      </c>
      <c r="I38" s="30" t="s">
        <v>356</v>
      </c>
      <c r="J38" s="119" t="s">
        <v>148</v>
      </c>
      <c r="K38" s="31" t="s">
        <v>79</v>
      </c>
      <c r="L38" s="9">
        <v>1</v>
      </c>
      <c r="M38" s="10"/>
    </row>
    <row r="39" spans="1:13" ht="16.5">
      <c r="A39" s="248"/>
      <c r="B39" s="250"/>
      <c r="C39" s="42">
        <f t="shared" si="2"/>
        <v>40010</v>
      </c>
      <c r="D39" s="250"/>
      <c r="E39" s="250"/>
      <c r="F39" s="40"/>
      <c r="G39" s="184" t="s">
        <v>30</v>
      </c>
      <c r="H39" s="43" t="s">
        <v>85</v>
      </c>
      <c r="I39" s="30" t="s">
        <v>392</v>
      </c>
      <c r="J39" s="119" t="s">
        <v>148</v>
      </c>
      <c r="K39" s="31" t="s">
        <v>86</v>
      </c>
      <c r="L39" s="9">
        <v>2</v>
      </c>
      <c r="M39" s="44" t="s">
        <v>152</v>
      </c>
    </row>
    <row r="40" spans="1:13" ht="16.5">
      <c r="A40" s="248"/>
      <c r="B40" s="250"/>
      <c r="C40" s="42">
        <f t="shared" si="2"/>
        <v>40011</v>
      </c>
      <c r="D40" s="250"/>
      <c r="E40" s="250"/>
      <c r="F40" s="40"/>
      <c r="G40" s="184" t="s">
        <v>30</v>
      </c>
      <c r="H40" s="43" t="s">
        <v>85</v>
      </c>
      <c r="I40" s="30" t="s">
        <v>357</v>
      </c>
      <c r="J40" s="119" t="s">
        <v>148</v>
      </c>
      <c r="K40" s="31" t="s">
        <v>86</v>
      </c>
      <c r="L40" s="9">
        <v>2</v>
      </c>
      <c r="M40" s="44" t="s">
        <v>309</v>
      </c>
    </row>
    <row r="41" spans="1:13" ht="16.5">
      <c r="A41" s="248"/>
      <c r="B41" s="250"/>
      <c r="C41" s="42">
        <f t="shared" si="2"/>
        <v>40012</v>
      </c>
      <c r="D41" s="250"/>
      <c r="E41" s="250"/>
      <c r="F41" s="40"/>
      <c r="G41" s="184" t="s">
        <v>30</v>
      </c>
      <c r="H41" s="43" t="s">
        <v>85</v>
      </c>
      <c r="I41" s="30" t="s">
        <v>384</v>
      </c>
      <c r="J41" s="119" t="s">
        <v>148</v>
      </c>
      <c r="K41" s="31" t="s">
        <v>86</v>
      </c>
      <c r="L41" s="9">
        <v>2</v>
      </c>
      <c r="M41" s="44" t="s">
        <v>310</v>
      </c>
    </row>
    <row r="42" spans="1:13" ht="16.5">
      <c r="A42" s="248"/>
      <c r="B42" s="250"/>
      <c r="C42" s="42">
        <f t="shared" si="2"/>
        <v>40013</v>
      </c>
      <c r="D42" s="250"/>
      <c r="E42" s="250"/>
      <c r="F42" s="17"/>
      <c r="G42" s="184" t="s">
        <v>34</v>
      </c>
      <c r="H42" s="37"/>
      <c r="I42" s="6"/>
      <c r="J42" s="118"/>
      <c r="K42" s="17" t="s">
        <v>8</v>
      </c>
      <c r="L42" s="17" t="s">
        <v>311</v>
      </c>
      <c r="M42" s="10"/>
    </row>
    <row r="43" spans="1:13" ht="16.5">
      <c r="A43" s="248"/>
      <c r="B43" s="251"/>
      <c r="C43" s="42">
        <f t="shared" si="2"/>
        <v>40014</v>
      </c>
      <c r="D43" s="251"/>
      <c r="E43" s="251"/>
      <c r="F43" s="17"/>
      <c r="G43" s="185" t="s">
        <v>36</v>
      </c>
      <c r="H43" s="35" t="s">
        <v>45</v>
      </c>
      <c r="I43" s="10" t="s">
        <v>350</v>
      </c>
      <c r="J43" s="118"/>
      <c r="K43" s="9" t="s">
        <v>38</v>
      </c>
      <c r="L43" s="9">
        <v>2</v>
      </c>
      <c r="M43" s="10" t="s">
        <v>312</v>
      </c>
    </row>
    <row r="44" spans="1:13" ht="25.5">
      <c r="A44" s="247">
        <v>4</v>
      </c>
      <c r="B44" s="249">
        <v>50000</v>
      </c>
      <c r="C44" s="18">
        <f>B44+1</f>
        <v>50001</v>
      </c>
      <c r="D44" s="249" t="str">
        <f>'辅助-模块单元解耦'!F2</f>
        <v>BE-CGS-SS-5-1.2</v>
      </c>
      <c r="E44" s="249">
        <v>2</v>
      </c>
      <c r="F44" s="17" t="s">
        <v>46</v>
      </c>
      <c r="G44" s="184" t="s">
        <v>19</v>
      </c>
      <c r="H44" s="34" t="s">
        <v>20</v>
      </c>
      <c r="I44" s="7" t="str">
        <f ca="1">CONCATENATE("洞口尺寸900×900mm,N=0.75kW，提升高度1.1m,洞口底部距池顶",过水孔G1底部距池顶高度,"m，双向承压，附壁式安装，单向升杆")</f>
        <v>洞口尺寸900×900mm,N=0.75kW，提升高度1.1m,洞口底部距池顶7.3m，双向承压，附壁式安装，单向升杆</v>
      </c>
      <c r="J44" s="119"/>
      <c r="K44" s="8" t="s">
        <v>21</v>
      </c>
      <c r="L44" s="15">
        <v>2</v>
      </c>
      <c r="M44" s="7" t="s">
        <v>303</v>
      </c>
    </row>
    <row r="45" spans="1:13" ht="25.5">
      <c r="A45" s="248"/>
      <c r="B45" s="250"/>
      <c r="C45" s="19">
        <f>C44+1</f>
        <v>50002</v>
      </c>
      <c r="D45" s="250"/>
      <c r="E45" s="250"/>
      <c r="F45" s="17" t="s">
        <v>47</v>
      </c>
      <c r="G45" s="184" t="s">
        <v>19</v>
      </c>
      <c r="H45" s="34" t="s">
        <v>41</v>
      </c>
      <c r="I45" s="7" t="str">
        <f ca="1">CONCATENATE("渠宽B=1.3m，设备宽度1.2m，渠深",进水井深度_渠深_H,"m，安装角度α=75°，栅前水深h=0.8m，栅隙b=15mm，N=2.2kW，材质SS304")</f>
        <v>渠宽B=1.3m，设备宽度1.2m，渠深7.6m，安装角度α=75°，栅前水深h=0.8m，栅隙b=15mm，N=2.2kW，材质SS304</v>
      </c>
      <c r="J45" s="119" t="s">
        <v>143</v>
      </c>
      <c r="K45" s="8" t="s">
        <v>24</v>
      </c>
      <c r="L45" s="15">
        <v>2</v>
      </c>
      <c r="M45" s="7" t="s">
        <v>387</v>
      </c>
    </row>
    <row r="46" spans="1:13" ht="25.5">
      <c r="A46" s="248"/>
      <c r="B46" s="250"/>
      <c r="C46" s="19">
        <f t="shared" ref="C46:C57" si="3">C45+1</f>
        <v>50003</v>
      </c>
      <c r="D46" s="250"/>
      <c r="E46" s="250"/>
      <c r="F46" s="17" t="s">
        <v>48</v>
      </c>
      <c r="G46" s="184" t="s">
        <v>19</v>
      </c>
      <c r="H46" s="34" t="s">
        <v>26</v>
      </c>
      <c r="I46" s="21" t="s">
        <v>354</v>
      </c>
      <c r="J46" s="119" t="s">
        <v>143</v>
      </c>
      <c r="K46" s="8" t="s">
        <v>24</v>
      </c>
      <c r="L46" s="15">
        <v>1</v>
      </c>
      <c r="M46" s="7" t="s">
        <v>304</v>
      </c>
    </row>
    <row r="47" spans="1:13" ht="33">
      <c r="A47" s="248"/>
      <c r="B47" s="250"/>
      <c r="C47" s="19">
        <f t="shared" si="3"/>
        <v>50004</v>
      </c>
      <c r="D47" s="250"/>
      <c r="E47" s="250"/>
      <c r="F47" s="17" t="s">
        <v>49</v>
      </c>
      <c r="G47" s="184" t="s">
        <v>19</v>
      </c>
      <c r="H47" s="34" t="s">
        <v>28</v>
      </c>
      <c r="I47" s="7" t="s">
        <v>345</v>
      </c>
      <c r="J47" s="119" t="s">
        <v>146</v>
      </c>
      <c r="K47" s="8" t="s">
        <v>24</v>
      </c>
      <c r="L47" s="15">
        <v>1</v>
      </c>
      <c r="M47" s="7"/>
    </row>
    <row r="48" spans="1:13" ht="41.45" customHeight="1">
      <c r="A48" s="248"/>
      <c r="B48" s="250"/>
      <c r="C48" s="19">
        <f t="shared" si="3"/>
        <v>50005</v>
      </c>
      <c r="D48" s="250"/>
      <c r="E48" s="250"/>
      <c r="F48" s="17" t="s">
        <v>50</v>
      </c>
      <c r="G48" s="184" t="s">
        <v>19</v>
      </c>
      <c r="H48" s="34" t="s">
        <v>20</v>
      </c>
      <c r="I48" s="7" t="str">
        <f ca="1">CONCATENATE("洞口尺寸900×900mm,N=0.75kW，提升高度1.1m,洞口底部距池顶",过水孔G2底部距池顶高度,"m，双向承压，附壁式安装，单向升杆")</f>
        <v>洞口尺寸900×900mm,N=0.75kW，提升高度1.1m,洞口底部距池顶7.6m，双向承压，附壁式安装，单向升杆</v>
      </c>
      <c r="J48" s="119"/>
      <c r="K48" s="8" t="s">
        <v>24</v>
      </c>
      <c r="L48" s="15">
        <v>2</v>
      </c>
      <c r="M48" s="7" t="s">
        <v>305</v>
      </c>
    </row>
    <row r="49" spans="1:13" ht="16.5">
      <c r="A49" s="248"/>
      <c r="B49" s="250"/>
      <c r="C49" s="19">
        <f t="shared" si="3"/>
        <v>50006</v>
      </c>
      <c r="D49" s="250"/>
      <c r="E49" s="250"/>
      <c r="F49" s="17"/>
      <c r="G49" s="184" t="s">
        <v>30</v>
      </c>
      <c r="H49" s="35" t="s">
        <v>31</v>
      </c>
      <c r="I49" s="22" t="s">
        <v>396</v>
      </c>
      <c r="J49" s="119" t="s">
        <v>148</v>
      </c>
      <c r="K49" s="9" t="s">
        <v>32</v>
      </c>
      <c r="L49" s="9">
        <v>2</v>
      </c>
      <c r="M49" s="32" t="s">
        <v>307</v>
      </c>
    </row>
    <row r="50" spans="1:13" ht="16.5">
      <c r="A50" s="248"/>
      <c r="B50" s="250"/>
      <c r="C50" s="19">
        <f t="shared" si="3"/>
        <v>50007</v>
      </c>
      <c r="D50" s="250"/>
      <c r="E50" s="250"/>
      <c r="F50" s="17"/>
      <c r="G50" s="184" t="s">
        <v>30</v>
      </c>
      <c r="H50" s="35" t="s">
        <v>33</v>
      </c>
      <c r="I50" s="22" t="s">
        <v>398</v>
      </c>
      <c r="J50" s="119" t="s">
        <v>148</v>
      </c>
      <c r="K50" s="9" t="s">
        <v>32</v>
      </c>
      <c r="L50" s="9">
        <v>2</v>
      </c>
      <c r="M50" s="32" t="s">
        <v>308</v>
      </c>
    </row>
    <row r="51" spans="1:13" ht="16.5">
      <c r="A51" s="248"/>
      <c r="B51" s="250"/>
      <c r="C51" s="26">
        <f t="shared" si="3"/>
        <v>50008</v>
      </c>
      <c r="D51" s="250"/>
      <c r="E51" s="250"/>
      <c r="F51" s="23"/>
      <c r="G51" s="184" t="s">
        <v>30</v>
      </c>
      <c r="H51" s="36" t="s">
        <v>78</v>
      </c>
      <c r="I51" s="30" t="s">
        <v>358</v>
      </c>
      <c r="J51" s="119" t="s">
        <v>148</v>
      </c>
      <c r="K51" s="31" t="s">
        <v>79</v>
      </c>
      <c r="L51" s="9">
        <v>1</v>
      </c>
      <c r="M51" s="10"/>
    </row>
    <row r="52" spans="1:13" ht="16.5">
      <c r="A52" s="248"/>
      <c r="B52" s="250"/>
      <c r="C52" s="26">
        <f t="shared" si="3"/>
        <v>50009</v>
      </c>
      <c r="D52" s="250"/>
      <c r="E52" s="250"/>
      <c r="F52" s="23"/>
      <c r="G52" s="184" t="s">
        <v>30</v>
      </c>
      <c r="H52" s="36" t="s">
        <v>78</v>
      </c>
      <c r="I52" s="30" t="s">
        <v>359</v>
      </c>
      <c r="J52" s="119" t="s">
        <v>148</v>
      </c>
      <c r="K52" s="31" t="s">
        <v>79</v>
      </c>
      <c r="L52" s="9">
        <v>1</v>
      </c>
      <c r="M52" s="10"/>
    </row>
    <row r="53" spans="1:13" ht="16.5">
      <c r="A53" s="248"/>
      <c r="B53" s="250"/>
      <c r="C53" s="42">
        <f t="shared" si="3"/>
        <v>50010</v>
      </c>
      <c r="D53" s="250"/>
      <c r="E53" s="250"/>
      <c r="F53" s="40"/>
      <c r="G53" s="184" t="s">
        <v>30</v>
      </c>
      <c r="H53" s="43" t="s">
        <v>85</v>
      </c>
      <c r="I53" s="30" t="s">
        <v>391</v>
      </c>
      <c r="J53" s="119" t="s">
        <v>148</v>
      </c>
      <c r="K53" s="31" t="s">
        <v>86</v>
      </c>
      <c r="L53" s="9">
        <v>2</v>
      </c>
      <c r="M53" s="44" t="s">
        <v>152</v>
      </c>
    </row>
    <row r="54" spans="1:13" ht="16.5">
      <c r="A54" s="248"/>
      <c r="B54" s="250"/>
      <c r="C54" s="42">
        <f t="shared" si="3"/>
        <v>50011</v>
      </c>
      <c r="D54" s="250"/>
      <c r="E54" s="250"/>
      <c r="F54" s="40"/>
      <c r="G54" s="184" t="s">
        <v>30</v>
      </c>
      <c r="H54" s="43" t="s">
        <v>85</v>
      </c>
      <c r="I54" s="30" t="s">
        <v>357</v>
      </c>
      <c r="J54" s="119" t="s">
        <v>148</v>
      </c>
      <c r="K54" s="31" t="s">
        <v>86</v>
      </c>
      <c r="L54" s="9">
        <v>2</v>
      </c>
      <c r="M54" s="44" t="s">
        <v>309</v>
      </c>
    </row>
    <row r="55" spans="1:13" ht="16.5">
      <c r="A55" s="248"/>
      <c r="B55" s="250"/>
      <c r="C55" s="42">
        <f t="shared" si="3"/>
        <v>50012</v>
      </c>
      <c r="D55" s="250"/>
      <c r="E55" s="250"/>
      <c r="F55" s="40"/>
      <c r="G55" s="184" t="s">
        <v>30</v>
      </c>
      <c r="H55" s="43" t="s">
        <v>85</v>
      </c>
      <c r="I55" s="30" t="s">
        <v>381</v>
      </c>
      <c r="J55" s="119" t="s">
        <v>148</v>
      </c>
      <c r="K55" s="31" t="s">
        <v>86</v>
      </c>
      <c r="L55" s="9">
        <v>2</v>
      </c>
      <c r="M55" s="44" t="s">
        <v>310</v>
      </c>
    </row>
    <row r="56" spans="1:13" ht="16.5">
      <c r="A56" s="248"/>
      <c r="B56" s="250"/>
      <c r="C56" s="42">
        <f t="shared" si="3"/>
        <v>50013</v>
      </c>
      <c r="D56" s="250"/>
      <c r="E56" s="250"/>
      <c r="F56" s="17"/>
      <c r="G56" s="184" t="s">
        <v>34</v>
      </c>
      <c r="H56" s="37"/>
      <c r="I56" s="6"/>
      <c r="J56" s="118"/>
      <c r="K56" s="9"/>
      <c r="L56" s="9"/>
      <c r="M56" s="10"/>
    </row>
    <row r="57" spans="1:13" ht="16.5">
      <c r="A57" s="248"/>
      <c r="B57" s="251"/>
      <c r="C57" s="42">
        <f t="shared" si="3"/>
        <v>50014</v>
      </c>
      <c r="D57" s="251"/>
      <c r="E57" s="251"/>
      <c r="F57" s="17"/>
      <c r="G57" s="185" t="s">
        <v>36</v>
      </c>
      <c r="H57" s="35" t="s">
        <v>45</v>
      </c>
      <c r="I57" s="10" t="s">
        <v>350</v>
      </c>
      <c r="J57" s="118"/>
      <c r="K57" s="9" t="s">
        <v>38</v>
      </c>
      <c r="L57" s="9">
        <v>2</v>
      </c>
      <c r="M57" s="10" t="s">
        <v>312</v>
      </c>
    </row>
    <row r="58" spans="1:13" ht="25.5">
      <c r="A58" s="247">
        <v>5</v>
      </c>
      <c r="B58" s="249">
        <v>60000</v>
      </c>
      <c r="C58" s="18">
        <f>B58+1</f>
        <v>60001</v>
      </c>
      <c r="D58" s="249" t="str">
        <f>'辅助-模块单元解耦'!G2</f>
        <v>BE-CGS-SS-6-1.4</v>
      </c>
      <c r="E58" s="249">
        <v>2</v>
      </c>
      <c r="F58" s="17" t="s">
        <v>51</v>
      </c>
      <c r="G58" s="184" t="s">
        <v>19</v>
      </c>
      <c r="H58" s="34" t="s">
        <v>20</v>
      </c>
      <c r="I58" s="21" t="str">
        <f ca="1">CONCATENATE("洞口尺寸1000×1000mm,N=0.75kW，提升高度1.2m,洞口底部距池顶",过水孔G1底部距池顶高度,"m，双向承压，附壁式安装，单向升杆")</f>
        <v>洞口尺寸1000×1000mm,N=0.75kW，提升高度1.2m,洞口底部距池顶7.3m，双向承压，附壁式安装，单向升杆</v>
      </c>
      <c r="J58" s="119"/>
      <c r="K58" s="8" t="s">
        <v>21</v>
      </c>
      <c r="L58" s="15">
        <v>2</v>
      </c>
      <c r="M58" s="7" t="s">
        <v>303</v>
      </c>
    </row>
    <row r="59" spans="1:13" ht="25.5">
      <c r="A59" s="248"/>
      <c r="B59" s="250"/>
      <c r="C59" s="18">
        <f t="shared" ref="C59:C64" si="4">C58+1</f>
        <v>60002</v>
      </c>
      <c r="D59" s="250"/>
      <c r="E59" s="250"/>
      <c r="F59" s="17" t="s">
        <v>52</v>
      </c>
      <c r="G59" s="184" t="s">
        <v>19</v>
      </c>
      <c r="H59" s="38" t="s">
        <v>77</v>
      </c>
      <c r="I59" s="21" t="str">
        <f ca="1">CONCATENATE("渠宽B=1.5m，设备宽度1.4m，渠深",进水井深度_渠深_H,"m，安装角度α=75°，栅前水深h=0.9m，栅隙b=15mm，N=2.2kW，材质SS304")</f>
        <v>渠宽B=1.5m，设备宽度1.4m，渠深7.6m，安装角度α=75°，栅前水深h=0.9m，栅隙b=15mm，N=2.2kW，材质SS304</v>
      </c>
      <c r="J59" s="119" t="s">
        <v>143</v>
      </c>
      <c r="K59" s="8" t="s">
        <v>24</v>
      </c>
      <c r="L59" s="15">
        <v>2</v>
      </c>
      <c r="M59" s="7" t="s">
        <v>387</v>
      </c>
    </row>
    <row r="60" spans="1:13" ht="25.5">
      <c r="A60" s="248"/>
      <c r="B60" s="250"/>
      <c r="C60" s="18">
        <f t="shared" si="4"/>
        <v>60003</v>
      </c>
      <c r="D60" s="250"/>
      <c r="E60" s="250"/>
      <c r="F60" s="17" t="s">
        <v>53</v>
      </c>
      <c r="G60" s="184" t="s">
        <v>19</v>
      </c>
      <c r="H60" s="34" t="s">
        <v>26</v>
      </c>
      <c r="I60" s="21" t="s">
        <v>360</v>
      </c>
      <c r="J60" s="119" t="s">
        <v>143</v>
      </c>
      <c r="K60" s="8" t="s">
        <v>24</v>
      </c>
      <c r="L60" s="15">
        <v>1</v>
      </c>
      <c r="M60" s="7" t="s">
        <v>304</v>
      </c>
    </row>
    <row r="61" spans="1:13" ht="33">
      <c r="A61" s="248"/>
      <c r="B61" s="250"/>
      <c r="C61" s="18">
        <f t="shared" si="4"/>
        <v>60004</v>
      </c>
      <c r="D61" s="250"/>
      <c r="E61" s="250"/>
      <c r="F61" s="17" t="s">
        <v>54</v>
      </c>
      <c r="G61" s="184" t="s">
        <v>19</v>
      </c>
      <c r="H61" s="34" t="s">
        <v>28</v>
      </c>
      <c r="I61" s="7" t="s">
        <v>345</v>
      </c>
      <c r="J61" s="119" t="s">
        <v>146</v>
      </c>
      <c r="K61" s="8" t="s">
        <v>24</v>
      </c>
      <c r="L61" s="15">
        <v>1</v>
      </c>
      <c r="M61" s="7"/>
    </row>
    <row r="62" spans="1:13" ht="25.5">
      <c r="A62" s="248"/>
      <c r="B62" s="250"/>
      <c r="C62" s="18">
        <f t="shared" si="4"/>
        <v>60005</v>
      </c>
      <c r="D62" s="250"/>
      <c r="E62" s="250"/>
      <c r="F62" s="17" t="s">
        <v>55</v>
      </c>
      <c r="G62" s="184" t="s">
        <v>19</v>
      </c>
      <c r="H62" s="34" t="s">
        <v>20</v>
      </c>
      <c r="I62" s="21" t="str">
        <f ca="1">CONCATENATE("洞口尺寸1000×1000mm,N=0.75kW，提升高度1.2m,洞口底部距池顶",过水孔G2底部距池顶高度,"m，双向承压，附壁式安装，单向升杆")</f>
        <v>洞口尺寸1000×1000mm,N=0.75kW，提升高度1.2m,洞口底部距池顶7.6m，双向承压，附壁式安装，单向升杆</v>
      </c>
      <c r="J62" s="119"/>
      <c r="K62" s="8" t="s">
        <v>24</v>
      </c>
      <c r="L62" s="15">
        <v>2</v>
      </c>
      <c r="M62" s="7" t="s">
        <v>305</v>
      </c>
    </row>
    <row r="63" spans="1:13" ht="16.5">
      <c r="A63" s="248"/>
      <c r="B63" s="250"/>
      <c r="C63" s="18">
        <f t="shared" si="4"/>
        <v>60006</v>
      </c>
      <c r="D63" s="250"/>
      <c r="E63" s="250"/>
      <c r="F63" s="17"/>
      <c r="G63" s="184" t="s">
        <v>30</v>
      </c>
      <c r="H63" s="35" t="s">
        <v>31</v>
      </c>
      <c r="I63" s="22" t="s">
        <v>395</v>
      </c>
      <c r="J63" s="119" t="s">
        <v>148</v>
      </c>
      <c r="K63" s="9" t="s">
        <v>32</v>
      </c>
      <c r="L63" s="9">
        <v>1</v>
      </c>
      <c r="M63" s="32" t="s">
        <v>307</v>
      </c>
    </row>
    <row r="64" spans="1:13" ht="16.5">
      <c r="A64" s="248"/>
      <c r="B64" s="250"/>
      <c r="C64" s="18">
        <f t="shared" si="4"/>
        <v>60007</v>
      </c>
      <c r="D64" s="250"/>
      <c r="E64" s="250"/>
      <c r="F64" s="17"/>
      <c r="G64" s="184" t="s">
        <v>30</v>
      </c>
      <c r="H64" s="35" t="s">
        <v>33</v>
      </c>
      <c r="I64" s="30" t="s">
        <v>361</v>
      </c>
      <c r="J64" s="119" t="s">
        <v>148</v>
      </c>
      <c r="K64" s="9" t="s">
        <v>32</v>
      </c>
      <c r="L64" s="9">
        <v>1</v>
      </c>
      <c r="M64" s="32" t="s">
        <v>308</v>
      </c>
    </row>
    <row r="65" spans="1:13" ht="16.5">
      <c r="A65" s="248"/>
      <c r="B65" s="250"/>
      <c r="C65" s="25">
        <f t="shared" ref="C65:C71" si="5">C64+1</f>
        <v>60008</v>
      </c>
      <c r="D65" s="250"/>
      <c r="E65" s="250"/>
      <c r="F65" s="23"/>
      <c r="G65" s="184" t="s">
        <v>30</v>
      </c>
      <c r="H65" s="36" t="s">
        <v>78</v>
      </c>
      <c r="I65" s="30" t="s">
        <v>358</v>
      </c>
      <c r="J65" s="119" t="s">
        <v>148</v>
      </c>
      <c r="K65" s="31" t="s">
        <v>79</v>
      </c>
      <c r="L65" s="9">
        <v>1</v>
      </c>
      <c r="M65" s="10"/>
    </row>
    <row r="66" spans="1:13" ht="16.5">
      <c r="A66" s="248"/>
      <c r="B66" s="250"/>
      <c r="C66" s="25">
        <f t="shared" si="5"/>
        <v>60009</v>
      </c>
      <c r="D66" s="250"/>
      <c r="E66" s="250"/>
      <c r="F66" s="23"/>
      <c r="G66" s="184" t="s">
        <v>30</v>
      </c>
      <c r="H66" s="36" t="s">
        <v>78</v>
      </c>
      <c r="I66" s="30" t="s">
        <v>359</v>
      </c>
      <c r="J66" s="119" t="s">
        <v>148</v>
      </c>
      <c r="K66" s="31" t="s">
        <v>79</v>
      </c>
      <c r="L66" s="9">
        <v>1</v>
      </c>
      <c r="M66" s="10"/>
    </row>
    <row r="67" spans="1:13" ht="16.5">
      <c r="A67" s="248"/>
      <c r="B67" s="250"/>
      <c r="C67" s="42">
        <f t="shared" si="5"/>
        <v>60010</v>
      </c>
      <c r="D67" s="250"/>
      <c r="E67" s="250"/>
      <c r="F67" s="40"/>
      <c r="G67" s="184" t="s">
        <v>30</v>
      </c>
      <c r="H67" s="43" t="s">
        <v>85</v>
      </c>
      <c r="I67" s="30" t="s">
        <v>390</v>
      </c>
      <c r="J67" s="119" t="s">
        <v>148</v>
      </c>
      <c r="K67" s="31" t="s">
        <v>86</v>
      </c>
      <c r="L67" s="9">
        <v>2</v>
      </c>
      <c r="M67" s="44" t="s">
        <v>152</v>
      </c>
    </row>
    <row r="68" spans="1:13" ht="16.5">
      <c r="A68" s="248"/>
      <c r="B68" s="250"/>
      <c r="C68" s="42">
        <f t="shared" si="5"/>
        <v>60011</v>
      </c>
      <c r="D68" s="250"/>
      <c r="E68" s="250"/>
      <c r="F68" s="40"/>
      <c r="G68" s="184" t="s">
        <v>30</v>
      </c>
      <c r="H68" s="43" t="s">
        <v>85</v>
      </c>
      <c r="I68" s="30" t="s">
        <v>362</v>
      </c>
      <c r="J68" s="119" t="s">
        <v>148</v>
      </c>
      <c r="K68" s="31" t="s">
        <v>86</v>
      </c>
      <c r="L68" s="9">
        <v>2</v>
      </c>
      <c r="M68" s="44" t="s">
        <v>309</v>
      </c>
    </row>
    <row r="69" spans="1:13" ht="16.5">
      <c r="A69" s="248"/>
      <c r="B69" s="250"/>
      <c r="C69" s="42">
        <f t="shared" si="5"/>
        <v>60012</v>
      </c>
      <c r="D69" s="250"/>
      <c r="E69" s="250"/>
      <c r="F69" s="40"/>
      <c r="G69" s="184" t="s">
        <v>30</v>
      </c>
      <c r="H69" s="43" t="s">
        <v>85</v>
      </c>
      <c r="I69" s="30" t="s">
        <v>382</v>
      </c>
      <c r="J69" s="119" t="s">
        <v>148</v>
      </c>
      <c r="K69" s="31" t="s">
        <v>86</v>
      </c>
      <c r="L69" s="9">
        <v>2</v>
      </c>
      <c r="M69" s="44" t="s">
        <v>310</v>
      </c>
    </row>
    <row r="70" spans="1:13" ht="16.5">
      <c r="A70" s="248"/>
      <c r="B70" s="250"/>
      <c r="C70" s="42">
        <f t="shared" si="5"/>
        <v>60013</v>
      </c>
      <c r="D70" s="250"/>
      <c r="E70" s="250"/>
      <c r="F70" s="17"/>
      <c r="G70" s="184" t="s">
        <v>34</v>
      </c>
      <c r="H70" s="39"/>
      <c r="I70" s="6"/>
      <c r="J70" s="118"/>
      <c r="K70" s="17" t="s">
        <v>8</v>
      </c>
      <c r="L70" s="17" t="s">
        <v>311</v>
      </c>
      <c r="M70" s="10"/>
    </row>
    <row r="71" spans="1:13" ht="16.5">
      <c r="A71" s="248"/>
      <c r="B71" s="251"/>
      <c r="C71" s="42">
        <f t="shared" si="5"/>
        <v>60014</v>
      </c>
      <c r="D71" s="251"/>
      <c r="E71" s="251"/>
      <c r="F71" s="17"/>
      <c r="G71" s="185" t="s">
        <v>36</v>
      </c>
      <c r="H71" s="35" t="s">
        <v>45</v>
      </c>
      <c r="I71" s="10" t="s">
        <v>350</v>
      </c>
      <c r="J71" s="118"/>
      <c r="K71" s="9" t="s">
        <v>38</v>
      </c>
      <c r="L71" s="9">
        <v>2</v>
      </c>
      <c r="M71" s="10" t="s">
        <v>312</v>
      </c>
    </row>
    <row r="72" spans="1:13" ht="40.15" customHeight="1">
      <c r="A72" s="247">
        <v>6</v>
      </c>
      <c r="B72" s="249">
        <v>70000</v>
      </c>
      <c r="C72" s="18">
        <f>B72+1</f>
        <v>70001</v>
      </c>
      <c r="D72" s="249" t="str">
        <f>'辅助-模块单元解耦'!H2</f>
        <v>BE-CGS-SS-7-1</v>
      </c>
      <c r="E72" s="249">
        <v>3</v>
      </c>
      <c r="F72" s="17" t="s">
        <v>46</v>
      </c>
      <c r="G72" s="184" t="s">
        <v>19</v>
      </c>
      <c r="H72" s="34" t="s">
        <v>20</v>
      </c>
      <c r="I72" s="21" t="str">
        <f ca="1">CONCATENATE("洞口尺寸900×900mm,N=0.75kW，提升高度1.1m,洞口底部距池顶",过水孔G1底部距池顶高度,"m，双向承压，附壁式安装，单向升杆")</f>
        <v>洞口尺寸900×900mm,N=0.75kW，提升高度1.1m,洞口底部距池顶7.3m，双向承压，附壁式安装，单向升杆</v>
      </c>
      <c r="J72" s="119"/>
      <c r="K72" s="8" t="s">
        <v>21</v>
      </c>
      <c r="L72" s="15">
        <v>3</v>
      </c>
      <c r="M72" s="7" t="s">
        <v>303</v>
      </c>
    </row>
    <row r="73" spans="1:13" ht="46.9" customHeight="1">
      <c r="A73" s="248"/>
      <c r="B73" s="250"/>
      <c r="C73" s="19">
        <f t="shared" ref="C73:C85" si="6">C72+1</f>
        <v>70002</v>
      </c>
      <c r="D73" s="250"/>
      <c r="E73" s="250"/>
      <c r="F73" s="17" t="s">
        <v>47</v>
      </c>
      <c r="G73" s="184" t="s">
        <v>19</v>
      </c>
      <c r="H73" s="34" t="s">
        <v>9</v>
      </c>
      <c r="I73" s="21" t="str">
        <f ca="1">CONCATENATE("渠宽B=1.1m，设备宽度1m，渠深",进水井深度_渠深_H,"m，安装角度α=75°，栅前水深h=0.9m，栅隙b=15mm，N=2.2kW，材质SS304")</f>
        <v>渠宽B=1.1m，设备宽度1m，渠深7.6m，安装角度α=75°，栅前水深h=0.9m，栅隙b=15mm，N=2.2kW，材质SS304</v>
      </c>
      <c r="J73" s="119" t="s">
        <v>143</v>
      </c>
      <c r="K73" s="8" t="s">
        <v>24</v>
      </c>
      <c r="L73" s="15">
        <v>3</v>
      </c>
      <c r="M73" s="7" t="s">
        <v>387</v>
      </c>
    </row>
    <row r="74" spans="1:13" ht="25.5">
      <c r="A74" s="248"/>
      <c r="B74" s="250"/>
      <c r="C74" s="19">
        <f t="shared" si="6"/>
        <v>70003</v>
      </c>
      <c r="D74" s="250"/>
      <c r="E74" s="250"/>
      <c r="F74" s="17" t="s">
        <v>48</v>
      </c>
      <c r="G74" s="184" t="s">
        <v>19</v>
      </c>
      <c r="H74" s="34" t="s">
        <v>26</v>
      </c>
      <c r="I74" s="21" t="s">
        <v>363</v>
      </c>
      <c r="J74" s="119" t="s">
        <v>143</v>
      </c>
      <c r="K74" s="8" t="s">
        <v>24</v>
      </c>
      <c r="L74" s="15">
        <v>1</v>
      </c>
      <c r="M74" s="7" t="s">
        <v>304</v>
      </c>
    </row>
    <row r="75" spans="1:13" ht="33">
      <c r="A75" s="248"/>
      <c r="B75" s="250"/>
      <c r="C75" s="19">
        <f t="shared" si="6"/>
        <v>70004</v>
      </c>
      <c r="D75" s="250"/>
      <c r="E75" s="250"/>
      <c r="F75" s="17" t="s">
        <v>49</v>
      </c>
      <c r="G75" s="184" t="s">
        <v>19</v>
      </c>
      <c r="H75" s="34" t="s">
        <v>28</v>
      </c>
      <c r="I75" s="7" t="s">
        <v>345</v>
      </c>
      <c r="J75" s="119" t="s">
        <v>146</v>
      </c>
      <c r="K75" s="8" t="s">
        <v>24</v>
      </c>
      <c r="L75" s="15">
        <v>1</v>
      </c>
      <c r="M75" s="7"/>
    </row>
    <row r="76" spans="1:13" ht="25.5">
      <c r="A76" s="248"/>
      <c r="B76" s="250"/>
      <c r="C76" s="19">
        <f t="shared" si="6"/>
        <v>70005</v>
      </c>
      <c r="D76" s="250"/>
      <c r="E76" s="250"/>
      <c r="F76" s="17" t="s">
        <v>50</v>
      </c>
      <c r="G76" s="184" t="s">
        <v>19</v>
      </c>
      <c r="H76" s="34" t="s">
        <v>20</v>
      </c>
      <c r="I76" s="21" t="str">
        <f ca="1">CONCATENATE("洞口尺寸900×900mm,N=0.75kW，提升高度1.1m,洞口底部距池顶",过水孔G2底部距池顶高度,"m，双向承压，附壁式安装，单向升杆")</f>
        <v>洞口尺寸900×900mm,N=0.75kW，提升高度1.1m,洞口底部距池顶7.6m，双向承压，附壁式安装，单向升杆</v>
      </c>
      <c r="J76" s="119"/>
      <c r="K76" s="8" t="s">
        <v>24</v>
      </c>
      <c r="L76" s="15">
        <v>3</v>
      </c>
      <c r="M76" s="7" t="s">
        <v>305</v>
      </c>
    </row>
    <row r="77" spans="1:13" ht="16.5">
      <c r="A77" s="248"/>
      <c r="B77" s="250"/>
      <c r="C77" s="19">
        <f t="shared" si="6"/>
        <v>70006</v>
      </c>
      <c r="D77" s="250"/>
      <c r="E77" s="250"/>
      <c r="F77" s="17"/>
      <c r="G77" s="184" t="s">
        <v>30</v>
      </c>
      <c r="H77" s="35" t="s">
        <v>31</v>
      </c>
      <c r="I77" s="22" t="s">
        <v>397</v>
      </c>
      <c r="J77" s="119" t="s">
        <v>148</v>
      </c>
      <c r="K77" s="9" t="s">
        <v>32</v>
      </c>
      <c r="L77" s="9">
        <v>2</v>
      </c>
      <c r="M77" s="32" t="s">
        <v>307</v>
      </c>
    </row>
    <row r="78" spans="1:13" ht="16.5">
      <c r="A78" s="248"/>
      <c r="B78" s="250"/>
      <c r="C78" s="19">
        <f t="shared" si="6"/>
        <v>70007</v>
      </c>
      <c r="D78" s="250"/>
      <c r="E78" s="250"/>
      <c r="F78" s="17"/>
      <c r="G78" s="184" t="s">
        <v>30</v>
      </c>
      <c r="H78" s="35" t="s">
        <v>33</v>
      </c>
      <c r="I78" s="30" t="s">
        <v>361</v>
      </c>
      <c r="J78" s="119" t="s">
        <v>148</v>
      </c>
      <c r="K78" s="9" t="s">
        <v>32</v>
      </c>
      <c r="L78" s="9">
        <v>2</v>
      </c>
      <c r="M78" s="32" t="s">
        <v>308</v>
      </c>
    </row>
    <row r="79" spans="1:13" ht="16.5">
      <c r="A79" s="248"/>
      <c r="B79" s="250"/>
      <c r="C79" s="26">
        <f t="shared" si="6"/>
        <v>70008</v>
      </c>
      <c r="D79" s="250"/>
      <c r="E79" s="250"/>
      <c r="F79" s="23"/>
      <c r="G79" s="184" t="s">
        <v>30</v>
      </c>
      <c r="H79" s="36" t="s">
        <v>78</v>
      </c>
      <c r="I79" s="30" t="s">
        <v>364</v>
      </c>
      <c r="J79" s="119" t="s">
        <v>148</v>
      </c>
      <c r="K79" s="31" t="s">
        <v>79</v>
      </c>
      <c r="L79" s="9">
        <v>1</v>
      </c>
      <c r="M79" s="10"/>
    </row>
    <row r="80" spans="1:13" ht="16.5">
      <c r="A80" s="248"/>
      <c r="B80" s="250"/>
      <c r="C80" s="26">
        <f t="shared" si="6"/>
        <v>70009</v>
      </c>
      <c r="D80" s="250"/>
      <c r="E80" s="250"/>
      <c r="F80" s="23"/>
      <c r="G80" s="184" t="s">
        <v>30</v>
      </c>
      <c r="H80" s="36" t="s">
        <v>78</v>
      </c>
      <c r="I80" s="30" t="s">
        <v>359</v>
      </c>
      <c r="J80" s="119" t="s">
        <v>148</v>
      </c>
      <c r="K80" s="31" t="s">
        <v>79</v>
      </c>
      <c r="L80" s="9">
        <v>1</v>
      </c>
      <c r="M80" s="10"/>
    </row>
    <row r="81" spans="1:13" ht="16.5">
      <c r="A81" s="248"/>
      <c r="B81" s="250"/>
      <c r="C81" s="42">
        <f t="shared" si="6"/>
        <v>70010</v>
      </c>
      <c r="D81" s="250"/>
      <c r="E81" s="250"/>
      <c r="F81" s="40"/>
      <c r="G81" s="184" t="s">
        <v>30</v>
      </c>
      <c r="H81" s="43" t="s">
        <v>85</v>
      </c>
      <c r="I81" s="30" t="s">
        <v>391</v>
      </c>
      <c r="J81" s="119" t="s">
        <v>148</v>
      </c>
      <c r="K81" s="31" t="s">
        <v>86</v>
      </c>
      <c r="L81" s="9">
        <v>4</v>
      </c>
      <c r="M81" s="44" t="s">
        <v>152</v>
      </c>
    </row>
    <row r="82" spans="1:13" ht="16.5">
      <c r="A82" s="248"/>
      <c r="B82" s="250"/>
      <c r="C82" s="42">
        <f t="shared" si="6"/>
        <v>70011</v>
      </c>
      <c r="D82" s="250"/>
      <c r="E82" s="250"/>
      <c r="F82" s="40"/>
      <c r="G82" s="184" t="s">
        <v>30</v>
      </c>
      <c r="H82" s="43" t="s">
        <v>85</v>
      </c>
      <c r="I82" s="30" t="s">
        <v>353</v>
      </c>
      <c r="J82" s="119" t="s">
        <v>148</v>
      </c>
      <c r="K82" s="31" t="s">
        <v>86</v>
      </c>
      <c r="L82" s="9">
        <v>3</v>
      </c>
      <c r="M82" s="44" t="s">
        <v>309</v>
      </c>
    </row>
    <row r="83" spans="1:13" ht="16.5">
      <c r="A83" s="248"/>
      <c r="B83" s="250"/>
      <c r="C83" s="42">
        <f t="shared" si="6"/>
        <v>70012</v>
      </c>
      <c r="D83" s="250"/>
      <c r="E83" s="250"/>
      <c r="F83" s="40"/>
      <c r="G83" s="184" t="s">
        <v>30</v>
      </c>
      <c r="H83" s="43" t="s">
        <v>85</v>
      </c>
      <c r="I83" s="30" t="s">
        <v>380</v>
      </c>
      <c r="J83" s="119" t="s">
        <v>148</v>
      </c>
      <c r="K83" s="31" t="s">
        <v>86</v>
      </c>
      <c r="L83" s="9">
        <v>3</v>
      </c>
      <c r="M83" s="44" t="s">
        <v>310</v>
      </c>
    </row>
    <row r="84" spans="1:13" ht="16.5">
      <c r="A84" s="248"/>
      <c r="B84" s="250"/>
      <c r="C84" s="42">
        <f t="shared" si="6"/>
        <v>70013</v>
      </c>
      <c r="D84" s="250"/>
      <c r="E84" s="250"/>
      <c r="F84" s="17"/>
      <c r="G84" s="184" t="s">
        <v>34</v>
      </c>
      <c r="H84" s="37"/>
      <c r="I84" s="6"/>
      <c r="J84" s="118"/>
      <c r="K84" s="17" t="s">
        <v>8</v>
      </c>
      <c r="L84" s="17" t="s">
        <v>311</v>
      </c>
      <c r="M84" s="10"/>
    </row>
    <row r="85" spans="1:13" ht="16.5">
      <c r="A85" s="248"/>
      <c r="B85" s="251"/>
      <c r="C85" s="42">
        <f t="shared" si="6"/>
        <v>70014</v>
      </c>
      <c r="D85" s="251"/>
      <c r="E85" s="251"/>
      <c r="F85" s="17"/>
      <c r="G85" s="185" t="s">
        <v>36</v>
      </c>
      <c r="H85" s="35" t="s">
        <v>45</v>
      </c>
      <c r="I85" s="10" t="s">
        <v>350</v>
      </c>
      <c r="J85" s="118"/>
      <c r="K85" s="9" t="s">
        <v>38</v>
      </c>
      <c r="L85" s="9">
        <v>3</v>
      </c>
      <c r="M85" s="10" t="s">
        <v>312</v>
      </c>
    </row>
    <row r="86" spans="1:13" ht="25.5">
      <c r="A86" s="247">
        <v>7</v>
      </c>
      <c r="B86" s="253">
        <v>80000</v>
      </c>
      <c r="C86" s="18">
        <f>B86+1</f>
        <v>80001</v>
      </c>
      <c r="D86" s="249" t="str">
        <f>'辅助-模块单元解耦'!I2</f>
        <v>BE-CGS-SS-8-1</v>
      </c>
      <c r="E86" s="249">
        <v>3</v>
      </c>
      <c r="F86" s="17" t="s">
        <v>51</v>
      </c>
      <c r="G86" s="184" t="s">
        <v>19</v>
      </c>
      <c r="H86" s="34" t="s">
        <v>20</v>
      </c>
      <c r="I86" s="21" t="str">
        <f ca="1">CONCATENATE("洞口尺寸900×900mm,N=0.75kW，提升高度1.2m,洞口底部距池顶",过水孔G1底部距池顶高度,"m，双向承压，附壁式安装，单向升杆")</f>
        <v>洞口尺寸900×900mm,N=0.75kW，提升高度1.2m,洞口底部距池顶7.3m，双向承压，附壁式安装，单向升杆</v>
      </c>
      <c r="J86" s="119"/>
      <c r="K86" s="8" t="s">
        <v>21</v>
      </c>
      <c r="L86" s="15">
        <v>3</v>
      </c>
      <c r="M86" s="7" t="s">
        <v>303</v>
      </c>
    </row>
    <row r="87" spans="1:13" ht="25.5">
      <c r="A87" s="248"/>
      <c r="B87" s="254"/>
      <c r="C87" s="19">
        <f t="shared" ref="C87:C99" si="7">C86+1</f>
        <v>80002</v>
      </c>
      <c r="D87" s="250"/>
      <c r="E87" s="250"/>
      <c r="F87" s="17" t="s">
        <v>52</v>
      </c>
      <c r="G87" s="184" t="s">
        <v>19</v>
      </c>
      <c r="H87" s="34" t="s">
        <v>9</v>
      </c>
      <c r="I87" s="21" t="str">
        <f ca="1">CONCATENATE("渠宽B=1.1m，设备宽度1m，渠深",进水井深度_渠深_H,"m，安装角度α=75°，栅前水深h=1m，栅隙b=15mm，N=2.2kW，材质SS304")</f>
        <v>渠宽B=1.1m，设备宽度1m，渠深7.6m，安装角度α=75°，栅前水深h=1m，栅隙b=15mm，N=2.2kW，材质SS304</v>
      </c>
      <c r="J87" s="119" t="s">
        <v>143</v>
      </c>
      <c r="K87" s="8" t="s">
        <v>24</v>
      </c>
      <c r="L87" s="15">
        <v>3</v>
      </c>
      <c r="M87" s="7" t="s">
        <v>387</v>
      </c>
    </row>
    <row r="88" spans="1:13" ht="25.5">
      <c r="A88" s="248"/>
      <c r="B88" s="254"/>
      <c r="C88" s="19">
        <f t="shared" si="7"/>
        <v>80003</v>
      </c>
      <c r="D88" s="250"/>
      <c r="E88" s="250"/>
      <c r="F88" s="17" t="s">
        <v>53</v>
      </c>
      <c r="G88" s="184" t="s">
        <v>19</v>
      </c>
      <c r="H88" s="34" t="s">
        <v>26</v>
      </c>
      <c r="I88" s="21" t="s">
        <v>363</v>
      </c>
      <c r="J88" s="119" t="s">
        <v>143</v>
      </c>
      <c r="K88" s="8" t="s">
        <v>24</v>
      </c>
      <c r="L88" s="15">
        <v>1</v>
      </c>
      <c r="M88" s="7" t="s">
        <v>304</v>
      </c>
    </row>
    <row r="89" spans="1:13" ht="33">
      <c r="A89" s="248"/>
      <c r="B89" s="254"/>
      <c r="C89" s="19">
        <f t="shared" si="7"/>
        <v>80004</v>
      </c>
      <c r="D89" s="250"/>
      <c r="E89" s="250"/>
      <c r="F89" s="17" t="s">
        <v>54</v>
      </c>
      <c r="G89" s="184" t="s">
        <v>19</v>
      </c>
      <c r="H89" s="34" t="s">
        <v>28</v>
      </c>
      <c r="I89" s="7" t="s">
        <v>345</v>
      </c>
      <c r="J89" s="119" t="s">
        <v>146</v>
      </c>
      <c r="K89" s="8" t="s">
        <v>24</v>
      </c>
      <c r="L89" s="15">
        <v>1</v>
      </c>
      <c r="M89" s="7"/>
    </row>
    <row r="90" spans="1:13" ht="25.5">
      <c r="A90" s="248"/>
      <c r="B90" s="254"/>
      <c r="C90" s="19">
        <f t="shared" si="7"/>
        <v>80005</v>
      </c>
      <c r="D90" s="250"/>
      <c r="E90" s="250"/>
      <c r="F90" s="17" t="s">
        <v>55</v>
      </c>
      <c r="G90" s="184" t="s">
        <v>19</v>
      </c>
      <c r="H90" s="34" t="s">
        <v>20</v>
      </c>
      <c r="I90" s="21" t="str">
        <f ca="1">CONCATENATE("洞口尺寸900×900mm,N=0.75kW，提升高度1.2m,洞口底部距池顶",过水孔G2底部距池顶高度,"m，双向承压，附壁式安装，单向升杆")</f>
        <v>洞口尺寸900×900mm,N=0.75kW，提升高度1.2m,洞口底部距池顶7.6m，双向承压，附壁式安装，单向升杆</v>
      </c>
      <c r="J90" s="119"/>
      <c r="K90" s="8" t="s">
        <v>24</v>
      </c>
      <c r="L90" s="15">
        <v>3</v>
      </c>
      <c r="M90" s="7" t="s">
        <v>305</v>
      </c>
    </row>
    <row r="91" spans="1:13" ht="16.5">
      <c r="A91" s="248"/>
      <c r="B91" s="254"/>
      <c r="C91" s="19">
        <f t="shared" si="7"/>
        <v>80006</v>
      </c>
      <c r="D91" s="250"/>
      <c r="E91" s="250"/>
      <c r="F91" s="17"/>
      <c r="G91" s="184" t="s">
        <v>30</v>
      </c>
      <c r="H91" s="35" t="s">
        <v>31</v>
      </c>
      <c r="I91" s="22" t="s">
        <v>397</v>
      </c>
      <c r="J91" s="119" t="s">
        <v>148</v>
      </c>
      <c r="K91" s="9" t="s">
        <v>32</v>
      </c>
      <c r="L91" s="9">
        <v>2</v>
      </c>
      <c r="M91" s="32" t="s">
        <v>307</v>
      </c>
    </row>
    <row r="92" spans="1:13" ht="16.5">
      <c r="A92" s="248"/>
      <c r="B92" s="254"/>
      <c r="C92" s="19">
        <f t="shared" si="7"/>
        <v>80007</v>
      </c>
      <c r="D92" s="250"/>
      <c r="E92" s="250"/>
      <c r="F92" s="17"/>
      <c r="G92" s="184" t="s">
        <v>30</v>
      </c>
      <c r="H92" s="35" t="s">
        <v>33</v>
      </c>
      <c r="I92" s="30" t="s">
        <v>361</v>
      </c>
      <c r="J92" s="119" t="s">
        <v>148</v>
      </c>
      <c r="K92" s="9" t="s">
        <v>32</v>
      </c>
      <c r="L92" s="9">
        <v>2</v>
      </c>
      <c r="M92" s="32" t="s">
        <v>308</v>
      </c>
    </row>
    <row r="93" spans="1:13" ht="16.5">
      <c r="A93" s="248"/>
      <c r="B93" s="254"/>
      <c r="C93" s="26">
        <f t="shared" si="7"/>
        <v>80008</v>
      </c>
      <c r="D93" s="250"/>
      <c r="E93" s="250"/>
      <c r="F93" s="23"/>
      <c r="G93" s="184" t="s">
        <v>30</v>
      </c>
      <c r="H93" s="36" t="s">
        <v>78</v>
      </c>
      <c r="I93" s="30" t="s">
        <v>364</v>
      </c>
      <c r="J93" s="119" t="s">
        <v>148</v>
      </c>
      <c r="K93" s="31" t="s">
        <v>79</v>
      </c>
      <c r="L93" s="9">
        <v>1</v>
      </c>
      <c r="M93" s="10"/>
    </row>
    <row r="94" spans="1:13" ht="16.5">
      <c r="A94" s="248"/>
      <c r="B94" s="254"/>
      <c r="C94" s="26">
        <f t="shared" si="7"/>
        <v>80009</v>
      </c>
      <c r="D94" s="250"/>
      <c r="E94" s="250"/>
      <c r="F94" s="23"/>
      <c r="G94" s="184" t="s">
        <v>30</v>
      </c>
      <c r="H94" s="36" t="s">
        <v>78</v>
      </c>
      <c r="I94" s="30" t="s">
        <v>359</v>
      </c>
      <c r="J94" s="119" t="s">
        <v>148</v>
      </c>
      <c r="K94" s="31" t="s">
        <v>79</v>
      </c>
      <c r="L94" s="9">
        <v>1</v>
      </c>
      <c r="M94" s="10"/>
    </row>
    <row r="95" spans="1:13" ht="16.5">
      <c r="A95" s="248"/>
      <c r="B95" s="254"/>
      <c r="C95" s="42">
        <f t="shared" si="7"/>
        <v>80010</v>
      </c>
      <c r="D95" s="250"/>
      <c r="E95" s="250"/>
      <c r="F95" s="40"/>
      <c r="G95" s="184" t="s">
        <v>30</v>
      </c>
      <c r="H95" s="43" t="s">
        <v>85</v>
      </c>
      <c r="I95" s="30" t="s">
        <v>391</v>
      </c>
      <c r="J95" s="119" t="s">
        <v>148</v>
      </c>
      <c r="K95" s="31" t="s">
        <v>86</v>
      </c>
      <c r="L95" s="9">
        <v>4</v>
      </c>
      <c r="M95" s="44" t="s">
        <v>152</v>
      </c>
    </row>
    <row r="96" spans="1:13" ht="16.5">
      <c r="A96" s="248"/>
      <c r="B96" s="254"/>
      <c r="C96" s="42">
        <f t="shared" si="7"/>
        <v>80011</v>
      </c>
      <c r="D96" s="250"/>
      <c r="E96" s="250"/>
      <c r="F96" s="40"/>
      <c r="G96" s="184" t="s">
        <v>30</v>
      </c>
      <c r="H96" s="43" t="s">
        <v>85</v>
      </c>
      <c r="I96" s="30" t="s">
        <v>353</v>
      </c>
      <c r="J96" s="119" t="s">
        <v>148</v>
      </c>
      <c r="K96" s="31" t="s">
        <v>86</v>
      </c>
      <c r="L96" s="9">
        <v>3</v>
      </c>
      <c r="M96" s="44" t="s">
        <v>309</v>
      </c>
    </row>
    <row r="97" spans="1:13" ht="16.5">
      <c r="A97" s="248"/>
      <c r="B97" s="254"/>
      <c r="C97" s="42">
        <f t="shared" si="7"/>
        <v>80012</v>
      </c>
      <c r="D97" s="250"/>
      <c r="E97" s="250"/>
      <c r="F97" s="40"/>
      <c r="G97" s="184" t="s">
        <v>30</v>
      </c>
      <c r="H97" s="43" t="s">
        <v>85</v>
      </c>
      <c r="I97" s="30" t="s">
        <v>383</v>
      </c>
      <c r="J97" s="119" t="s">
        <v>148</v>
      </c>
      <c r="K97" s="31" t="s">
        <v>86</v>
      </c>
      <c r="L97" s="9">
        <v>3</v>
      </c>
      <c r="M97" s="44" t="s">
        <v>310</v>
      </c>
    </row>
    <row r="98" spans="1:13" ht="16.5">
      <c r="A98" s="248"/>
      <c r="B98" s="254"/>
      <c r="C98" s="42">
        <f t="shared" si="7"/>
        <v>80013</v>
      </c>
      <c r="D98" s="250"/>
      <c r="E98" s="250"/>
      <c r="F98" s="17"/>
      <c r="G98" s="184" t="s">
        <v>34</v>
      </c>
      <c r="H98" s="37"/>
      <c r="I98" s="6"/>
      <c r="J98" s="118"/>
      <c r="K98" s="17" t="s">
        <v>8</v>
      </c>
      <c r="L98" s="17" t="s">
        <v>311</v>
      </c>
      <c r="M98" s="10"/>
    </row>
    <row r="99" spans="1:13" ht="16.5">
      <c r="A99" s="248"/>
      <c r="B99" s="255"/>
      <c r="C99" s="42">
        <f t="shared" si="7"/>
        <v>80014</v>
      </c>
      <c r="D99" s="251"/>
      <c r="E99" s="251"/>
      <c r="F99" s="17"/>
      <c r="G99" s="185" t="s">
        <v>36</v>
      </c>
      <c r="H99" s="35" t="s">
        <v>45</v>
      </c>
      <c r="I99" s="10" t="s">
        <v>350</v>
      </c>
      <c r="J99" s="118"/>
      <c r="K99" s="9" t="s">
        <v>38</v>
      </c>
      <c r="L99" s="9">
        <v>3</v>
      </c>
      <c r="M99" s="10" t="s">
        <v>312</v>
      </c>
    </row>
    <row r="100" spans="1:13" ht="25.5">
      <c r="A100" s="247">
        <v>8</v>
      </c>
      <c r="B100" s="253">
        <v>90000</v>
      </c>
      <c r="C100" s="18">
        <f>B100+1</f>
        <v>90001</v>
      </c>
      <c r="D100" s="249" t="str">
        <f>'辅助-模块单元解耦'!J2</f>
        <v>BE-CGS-SS-9-1.2</v>
      </c>
      <c r="E100" s="249">
        <v>3</v>
      </c>
      <c r="F100" s="17" t="s">
        <v>51</v>
      </c>
      <c r="G100" s="184" t="s">
        <v>19</v>
      </c>
      <c r="H100" s="34" t="s">
        <v>20</v>
      </c>
      <c r="I100" s="21" t="str">
        <f ca="1">CONCATENATE("洞口尺寸1000×1000mm,N=0.75kW，提升高度1.2m,洞口底部距池顶",过水孔G1底部距池顶高度,"m，双向承压，附壁式安装，单向升杆")</f>
        <v>洞口尺寸1000×1000mm,N=0.75kW，提升高度1.2m,洞口底部距池顶7.3m，双向承压，附壁式安装，单向升杆</v>
      </c>
      <c r="J100" s="119"/>
      <c r="K100" s="8" t="s">
        <v>21</v>
      </c>
      <c r="L100" s="15">
        <v>3</v>
      </c>
      <c r="M100" s="7" t="s">
        <v>303</v>
      </c>
    </row>
    <row r="101" spans="1:13" ht="25.5">
      <c r="A101" s="248"/>
      <c r="B101" s="254"/>
      <c r="C101" s="19">
        <f t="shared" ref="C101:C113" si="8">C100+1</f>
        <v>90002</v>
      </c>
      <c r="D101" s="250"/>
      <c r="E101" s="250"/>
      <c r="F101" s="17" t="s">
        <v>52</v>
      </c>
      <c r="G101" s="184" t="s">
        <v>19</v>
      </c>
      <c r="H101" s="34" t="s">
        <v>9</v>
      </c>
      <c r="I101" s="21" t="str">
        <f ca="1">CONCATENATE("渠宽B=1.3m，设备宽度1.2m，渠深",进水井深度_渠深_H,"m，安装角度α=75°，栅前水深h=1m，栅隙b=15mm，N=2.2kW，材质SS304")</f>
        <v>渠宽B=1.3m，设备宽度1.2m，渠深7.6m，安装角度α=75°，栅前水深h=1m，栅隙b=15mm，N=2.2kW，材质SS304</v>
      </c>
      <c r="J101" s="119" t="s">
        <v>143</v>
      </c>
      <c r="K101" s="8" t="s">
        <v>24</v>
      </c>
      <c r="L101" s="15">
        <v>3</v>
      </c>
      <c r="M101" s="7" t="s">
        <v>387</v>
      </c>
    </row>
    <row r="102" spans="1:13" ht="25.5">
      <c r="A102" s="248"/>
      <c r="B102" s="254"/>
      <c r="C102" s="19">
        <f t="shared" si="8"/>
        <v>90003</v>
      </c>
      <c r="D102" s="250"/>
      <c r="E102" s="250"/>
      <c r="F102" s="17" t="s">
        <v>53</v>
      </c>
      <c r="G102" s="184" t="s">
        <v>19</v>
      </c>
      <c r="H102" s="34" t="s">
        <v>26</v>
      </c>
      <c r="I102" s="21" t="s">
        <v>365</v>
      </c>
      <c r="J102" s="119" t="s">
        <v>143</v>
      </c>
      <c r="K102" s="8" t="s">
        <v>24</v>
      </c>
      <c r="L102" s="15">
        <v>1</v>
      </c>
      <c r="M102" s="7" t="s">
        <v>304</v>
      </c>
    </row>
    <row r="103" spans="1:13" ht="33">
      <c r="A103" s="248"/>
      <c r="B103" s="254"/>
      <c r="C103" s="19">
        <f t="shared" si="8"/>
        <v>90004</v>
      </c>
      <c r="D103" s="250"/>
      <c r="E103" s="250"/>
      <c r="F103" s="17" t="s">
        <v>54</v>
      </c>
      <c r="G103" s="184" t="s">
        <v>19</v>
      </c>
      <c r="H103" s="34" t="s">
        <v>28</v>
      </c>
      <c r="I103" s="7" t="s">
        <v>345</v>
      </c>
      <c r="J103" s="119" t="s">
        <v>146</v>
      </c>
      <c r="K103" s="8" t="s">
        <v>24</v>
      </c>
      <c r="L103" s="15">
        <v>1</v>
      </c>
      <c r="M103" s="7"/>
    </row>
    <row r="104" spans="1:13" ht="25.5">
      <c r="A104" s="248"/>
      <c r="B104" s="254"/>
      <c r="C104" s="19">
        <f t="shared" si="8"/>
        <v>90005</v>
      </c>
      <c r="D104" s="250"/>
      <c r="E104" s="250"/>
      <c r="F104" s="17" t="s">
        <v>55</v>
      </c>
      <c r="G104" s="184" t="s">
        <v>19</v>
      </c>
      <c r="H104" s="34" t="s">
        <v>20</v>
      </c>
      <c r="I104" s="21" t="str">
        <f ca="1">CONCATENATE("洞口尺寸1000×1000mm,N=0.75kW，提升高度1.2m,洞口底部距池顶",过水孔G2底部距池顶高度,"m，双向承压，附壁式安装，单向升杆")</f>
        <v>洞口尺寸1000×1000mm,N=0.75kW，提升高度1.2m,洞口底部距池顶7.6m，双向承压，附壁式安装，单向升杆</v>
      </c>
      <c r="J104" s="119"/>
      <c r="K104" s="8" t="s">
        <v>24</v>
      </c>
      <c r="L104" s="15">
        <v>3</v>
      </c>
      <c r="M104" s="7" t="s">
        <v>305</v>
      </c>
    </row>
    <row r="105" spans="1:13" ht="16.5">
      <c r="A105" s="248"/>
      <c r="B105" s="254"/>
      <c r="C105" s="19">
        <f t="shared" si="8"/>
        <v>90006</v>
      </c>
      <c r="D105" s="250"/>
      <c r="E105" s="250"/>
      <c r="F105" s="17"/>
      <c r="G105" s="184" t="s">
        <v>30</v>
      </c>
      <c r="H105" s="35" t="s">
        <v>31</v>
      </c>
      <c r="I105" s="22" t="s">
        <v>399</v>
      </c>
      <c r="J105" s="119" t="s">
        <v>148</v>
      </c>
      <c r="K105" s="9" t="s">
        <v>32</v>
      </c>
      <c r="L105" s="9">
        <v>2</v>
      </c>
      <c r="M105" s="32" t="s">
        <v>307</v>
      </c>
    </row>
    <row r="106" spans="1:13" ht="16.5">
      <c r="A106" s="248"/>
      <c r="B106" s="254"/>
      <c r="C106" s="19">
        <f t="shared" si="8"/>
        <v>90007</v>
      </c>
      <c r="D106" s="250"/>
      <c r="E106" s="250"/>
      <c r="F106" s="17"/>
      <c r="G106" s="184" t="s">
        <v>30</v>
      </c>
      <c r="H106" s="35" t="s">
        <v>33</v>
      </c>
      <c r="I106" s="30" t="s">
        <v>366</v>
      </c>
      <c r="J106" s="119" t="s">
        <v>148</v>
      </c>
      <c r="K106" s="9" t="s">
        <v>32</v>
      </c>
      <c r="L106" s="9">
        <v>2</v>
      </c>
      <c r="M106" s="32" t="s">
        <v>308</v>
      </c>
    </row>
    <row r="107" spans="1:13" ht="16.5">
      <c r="A107" s="248"/>
      <c r="B107" s="254"/>
      <c r="C107" s="26">
        <f t="shared" si="8"/>
        <v>90008</v>
      </c>
      <c r="D107" s="250"/>
      <c r="E107" s="250"/>
      <c r="F107" s="23"/>
      <c r="G107" s="184" t="s">
        <v>30</v>
      </c>
      <c r="H107" s="36" t="s">
        <v>78</v>
      </c>
      <c r="I107" s="30" t="s">
        <v>367</v>
      </c>
      <c r="J107" s="119" t="s">
        <v>148</v>
      </c>
      <c r="K107" s="31" t="s">
        <v>79</v>
      </c>
      <c r="L107" s="9">
        <v>1</v>
      </c>
      <c r="M107" s="10"/>
    </row>
    <row r="108" spans="1:13" ht="16.5">
      <c r="A108" s="248"/>
      <c r="B108" s="254"/>
      <c r="C108" s="26">
        <f t="shared" si="8"/>
        <v>90009</v>
      </c>
      <c r="D108" s="250"/>
      <c r="E108" s="250"/>
      <c r="F108" s="23"/>
      <c r="G108" s="184" t="s">
        <v>30</v>
      </c>
      <c r="H108" s="36" t="s">
        <v>78</v>
      </c>
      <c r="I108" s="30" t="s">
        <v>368</v>
      </c>
      <c r="J108" s="119" t="s">
        <v>148</v>
      </c>
      <c r="K108" s="31" t="s">
        <v>79</v>
      </c>
      <c r="L108" s="9">
        <v>1</v>
      </c>
      <c r="M108" s="10"/>
    </row>
    <row r="109" spans="1:13" ht="16.5">
      <c r="A109" s="248"/>
      <c r="B109" s="254"/>
      <c r="C109" s="42">
        <f t="shared" si="8"/>
        <v>90010</v>
      </c>
      <c r="D109" s="250"/>
      <c r="E109" s="250"/>
      <c r="F109" s="40"/>
      <c r="G109" s="184" t="s">
        <v>30</v>
      </c>
      <c r="H109" s="43" t="s">
        <v>85</v>
      </c>
      <c r="I109" s="30" t="s">
        <v>390</v>
      </c>
      <c r="J109" s="119" t="s">
        <v>148</v>
      </c>
      <c r="K109" s="31" t="s">
        <v>86</v>
      </c>
      <c r="L109" s="9">
        <v>4</v>
      </c>
      <c r="M109" s="44" t="s">
        <v>152</v>
      </c>
    </row>
    <row r="110" spans="1:13" ht="16.5">
      <c r="A110" s="248"/>
      <c r="B110" s="254"/>
      <c r="C110" s="42">
        <f t="shared" si="8"/>
        <v>90011</v>
      </c>
      <c r="D110" s="250"/>
      <c r="E110" s="250"/>
      <c r="F110" s="40"/>
      <c r="G110" s="184" t="s">
        <v>30</v>
      </c>
      <c r="H110" s="43" t="s">
        <v>85</v>
      </c>
      <c r="I110" s="30" t="s">
        <v>357</v>
      </c>
      <c r="J110" s="119" t="s">
        <v>148</v>
      </c>
      <c r="K110" s="31" t="s">
        <v>86</v>
      </c>
      <c r="L110" s="9">
        <v>3</v>
      </c>
      <c r="M110" s="44" t="s">
        <v>309</v>
      </c>
    </row>
    <row r="111" spans="1:13" ht="16.5">
      <c r="A111" s="248"/>
      <c r="B111" s="254"/>
      <c r="C111" s="42">
        <f t="shared" si="8"/>
        <v>90012</v>
      </c>
      <c r="D111" s="250"/>
      <c r="E111" s="250"/>
      <c r="F111" s="40"/>
      <c r="G111" s="184" t="s">
        <v>30</v>
      </c>
      <c r="H111" s="43" t="s">
        <v>85</v>
      </c>
      <c r="I111" s="30" t="s">
        <v>384</v>
      </c>
      <c r="J111" s="119" t="s">
        <v>148</v>
      </c>
      <c r="K111" s="31" t="s">
        <v>86</v>
      </c>
      <c r="L111" s="9">
        <v>3</v>
      </c>
      <c r="M111" s="44" t="s">
        <v>310</v>
      </c>
    </row>
    <row r="112" spans="1:13" ht="16.5">
      <c r="A112" s="248"/>
      <c r="B112" s="254"/>
      <c r="C112" s="42">
        <f t="shared" si="8"/>
        <v>90013</v>
      </c>
      <c r="D112" s="250"/>
      <c r="E112" s="250"/>
      <c r="F112" s="17"/>
      <c r="G112" s="184" t="s">
        <v>34</v>
      </c>
      <c r="H112" s="37"/>
      <c r="I112" s="6"/>
      <c r="J112" s="118"/>
      <c r="K112" s="17" t="s">
        <v>8</v>
      </c>
      <c r="L112" s="17" t="s">
        <v>311</v>
      </c>
      <c r="M112" s="10"/>
    </row>
    <row r="113" spans="1:13" ht="16.5">
      <c r="A113" s="248"/>
      <c r="B113" s="255"/>
      <c r="C113" s="42">
        <f t="shared" si="8"/>
        <v>90014</v>
      </c>
      <c r="D113" s="251"/>
      <c r="E113" s="251"/>
      <c r="F113" s="17"/>
      <c r="G113" s="185" t="s">
        <v>36</v>
      </c>
      <c r="H113" s="35" t="s">
        <v>45</v>
      </c>
      <c r="I113" s="10" t="s">
        <v>350</v>
      </c>
      <c r="J113" s="118"/>
      <c r="K113" s="9" t="s">
        <v>38</v>
      </c>
      <c r="L113" s="9">
        <v>3</v>
      </c>
      <c r="M113" s="10" t="s">
        <v>312</v>
      </c>
    </row>
    <row r="114" spans="1:13" ht="25.5">
      <c r="A114" s="247">
        <v>9</v>
      </c>
      <c r="B114" s="253">
        <v>100000</v>
      </c>
      <c r="C114" s="18">
        <f>B114+1</f>
        <v>100001</v>
      </c>
      <c r="D114" s="249" t="str">
        <f>'辅助-模块单元解耦'!K2</f>
        <v>BE-CGS-SS-10-1.2</v>
      </c>
      <c r="E114" s="249">
        <v>3</v>
      </c>
      <c r="F114" s="17" t="s">
        <v>56</v>
      </c>
      <c r="G114" s="184" t="s">
        <v>19</v>
      </c>
      <c r="H114" s="34" t="s">
        <v>20</v>
      </c>
      <c r="I114" s="21" t="str">
        <f ca="1">CONCATENATE("洞口尺寸1000×1000mm,N=0.75kW，提升高度1.2m,洞口底部距池顶",过水孔G1底部距池顶高度,"m，双向承压，附壁式安装，单向升杆")</f>
        <v>洞口尺寸1000×1000mm,N=0.75kW，提升高度1.2m,洞口底部距池顶7.3m，双向承压，附壁式安装，单向升杆</v>
      </c>
      <c r="J114" s="119"/>
      <c r="K114" s="8" t="s">
        <v>21</v>
      </c>
      <c r="L114" s="15">
        <v>3</v>
      </c>
      <c r="M114" s="7" t="s">
        <v>303</v>
      </c>
    </row>
    <row r="115" spans="1:13" ht="25.5">
      <c r="A115" s="248"/>
      <c r="B115" s="254"/>
      <c r="C115" s="19">
        <f t="shared" ref="C115:C127" si="9">C114+1</f>
        <v>100002</v>
      </c>
      <c r="D115" s="250"/>
      <c r="E115" s="250"/>
      <c r="F115" s="17" t="s">
        <v>57</v>
      </c>
      <c r="G115" s="184" t="s">
        <v>19</v>
      </c>
      <c r="H115" s="34" t="s">
        <v>9</v>
      </c>
      <c r="I115" s="21" t="str">
        <f ca="1">CONCATENATE("渠宽B=1.3m，设备宽度1.2m，渠深",进水井深度_渠深_H,"m，安装角度α=75°，栅前水深h=1.1m，栅隙b=15mm，N=2.2kW，材质SS304")</f>
        <v>渠宽B=1.3m，设备宽度1.2m，渠深7.6m，安装角度α=75°，栅前水深h=1.1m，栅隙b=15mm，N=2.2kW，材质SS304</v>
      </c>
      <c r="J115" s="119" t="s">
        <v>143</v>
      </c>
      <c r="K115" s="8" t="s">
        <v>24</v>
      </c>
      <c r="L115" s="15">
        <v>3</v>
      </c>
      <c r="M115" s="7" t="s">
        <v>387</v>
      </c>
    </row>
    <row r="116" spans="1:13" ht="25.5">
      <c r="A116" s="248"/>
      <c r="B116" s="254"/>
      <c r="C116" s="19">
        <f t="shared" si="9"/>
        <v>100003</v>
      </c>
      <c r="D116" s="250"/>
      <c r="E116" s="250"/>
      <c r="F116" s="17" t="s">
        <v>58</v>
      </c>
      <c r="G116" s="184" t="s">
        <v>19</v>
      </c>
      <c r="H116" s="34" t="s">
        <v>26</v>
      </c>
      <c r="I116" s="21" t="s">
        <v>417</v>
      </c>
      <c r="J116" s="119" t="s">
        <v>143</v>
      </c>
      <c r="K116" s="8" t="s">
        <v>24</v>
      </c>
      <c r="L116" s="15">
        <v>1</v>
      </c>
      <c r="M116" s="7" t="s">
        <v>304</v>
      </c>
    </row>
    <row r="117" spans="1:13" ht="33">
      <c r="A117" s="248"/>
      <c r="B117" s="254"/>
      <c r="C117" s="19">
        <f t="shared" si="9"/>
        <v>100004</v>
      </c>
      <c r="D117" s="250"/>
      <c r="E117" s="250"/>
      <c r="F117" s="17" t="s">
        <v>59</v>
      </c>
      <c r="G117" s="184" t="s">
        <v>19</v>
      </c>
      <c r="H117" s="34" t="s">
        <v>28</v>
      </c>
      <c r="I117" s="7" t="s">
        <v>369</v>
      </c>
      <c r="J117" s="119" t="s">
        <v>146</v>
      </c>
      <c r="K117" s="8" t="s">
        <v>24</v>
      </c>
      <c r="L117" s="15">
        <v>1</v>
      </c>
      <c r="M117" s="7"/>
    </row>
    <row r="118" spans="1:13" ht="25.5">
      <c r="A118" s="248"/>
      <c r="B118" s="254"/>
      <c r="C118" s="19">
        <f t="shared" si="9"/>
        <v>100005</v>
      </c>
      <c r="D118" s="250"/>
      <c r="E118" s="250"/>
      <c r="F118" s="17" t="s">
        <v>60</v>
      </c>
      <c r="G118" s="184" t="s">
        <v>19</v>
      </c>
      <c r="H118" s="34" t="s">
        <v>20</v>
      </c>
      <c r="I118" s="21" t="str">
        <f ca="1">CONCATENATE("洞口尺寸1000×1000mm,N=0.75kW，提升高度1.2m,洞口底部距池顶",过水孔G2底部距池顶高度,"m，双向承压，附壁式安装，单向升杆")</f>
        <v>洞口尺寸1000×1000mm,N=0.75kW，提升高度1.2m,洞口底部距池顶7.6m，双向承压，附壁式安装，单向升杆</v>
      </c>
      <c r="J118" s="119"/>
      <c r="K118" s="8" t="s">
        <v>24</v>
      </c>
      <c r="L118" s="15">
        <v>3</v>
      </c>
      <c r="M118" s="7" t="s">
        <v>305</v>
      </c>
    </row>
    <row r="119" spans="1:13" ht="16.5">
      <c r="A119" s="248"/>
      <c r="B119" s="254"/>
      <c r="C119" s="19">
        <f t="shared" si="9"/>
        <v>100006</v>
      </c>
      <c r="D119" s="250"/>
      <c r="E119" s="250"/>
      <c r="F119" s="17"/>
      <c r="G119" s="184" t="s">
        <v>30</v>
      </c>
      <c r="H119" s="35" t="s">
        <v>31</v>
      </c>
      <c r="I119" s="22" t="s">
        <v>399</v>
      </c>
      <c r="J119" s="119" t="s">
        <v>148</v>
      </c>
      <c r="K119" s="9" t="s">
        <v>32</v>
      </c>
      <c r="L119" s="9">
        <v>2</v>
      </c>
      <c r="M119" s="32" t="s">
        <v>307</v>
      </c>
    </row>
    <row r="120" spans="1:13" ht="16.5">
      <c r="A120" s="248"/>
      <c r="B120" s="254"/>
      <c r="C120" s="19">
        <f t="shared" si="9"/>
        <v>100007</v>
      </c>
      <c r="D120" s="250"/>
      <c r="E120" s="250"/>
      <c r="F120" s="17"/>
      <c r="G120" s="184" t="s">
        <v>30</v>
      </c>
      <c r="H120" s="35" t="s">
        <v>33</v>
      </c>
      <c r="I120" s="30" t="s">
        <v>366</v>
      </c>
      <c r="J120" s="119" t="s">
        <v>148</v>
      </c>
      <c r="K120" s="9" t="s">
        <v>32</v>
      </c>
      <c r="L120" s="9">
        <v>2</v>
      </c>
      <c r="M120" s="32" t="s">
        <v>308</v>
      </c>
    </row>
    <row r="121" spans="1:13" ht="16.5">
      <c r="A121" s="248"/>
      <c r="B121" s="254"/>
      <c r="C121" s="26">
        <f t="shared" si="9"/>
        <v>100008</v>
      </c>
      <c r="D121" s="250"/>
      <c r="E121" s="250"/>
      <c r="F121" s="23"/>
      <c r="G121" s="184" t="s">
        <v>30</v>
      </c>
      <c r="H121" s="36" t="s">
        <v>78</v>
      </c>
      <c r="I121" s="30" t="s">
        <v>370</v>
      </c>
      <c r="J121" s="119" t="s">
        <v>148</v>
      </c>
      <c r="K121" s="31" t="s">
        <v>79</v>
      </c>
      <c r="L121" s="9">
        <v>1</v>
      </c>
      <c r="M121" s="10"/>
    </row>
    <row r="122" spans="1:13" ht="16.5">
      <c r="A122" s="248"/>
      <c r="B122" s="254"/>
      <c r="C122" s="26">
        <f t="shared" si="9"/>
        <v>100009</v>
      </c>
      <c r="D122" s="250"/>
      <c r="E122" s="250"/>
      <c r="F122" s="23"/>
      <c r="G122" s="184" t="s">
        <v>30</v>
      </c>
      <c r="H122" s="36" t="s">
        <v>78</v>
      </c>
      <c r="I122" s="30" t="s">
        <v>368</v>
      </c>
      <c r="J122" s="119" t="s">
        <v>148</v>
      </c>
      <c r="K122" s="31" t="s">
        <v>79</v>
      </c>
      <c r="L122" s="9">
        <v>1</v>
      </c>
      <c r="M122" s="10"/>
    </row>
    <row r="123" spans="1:13" ht="16.5">
      <c r="A123" s="248"/>
      <c r="B123" s="254"/>
      <c r="C123" s="41">
        <f t="shared" si="9"/>
        <v>100010</v>
      </c>
      <c r="D123" s="250"/>
      <c r="E123" s="250"/>
      <c r="F123" s="40"/>
      <c r="G123" s="184" t="s">
        <v>30</v>
      </c>
      <c r="H123" s="43" t="s">
        <v>85</v>
      </c>
      <c r="I123" s="30" t="s">
        <v>390</v>
      </c>
      <c r="J123" s="119" t="s">
        <v>148</v>
      </c>
      <c r="K123" s="31" t="s">
        <v>86</v>
      </c>
      <c r="L123" s="9">
        <v>4</v>
      </c>
      <c r="M123" s="44" t="s">
        <v>152</v>
      </c>
    </row>
    <row r="124" spans="1:13" ht="16.5">
      <c r="A124" s="248"/>
      <c r="B124" s="254"/>
      <c r="C124" s="41">
        <f t="shared" si="9"/>
        <v>100011</v>
      </c>
      <c r="D124" s="250"/>
      <c r="E124" s="250"/>
      <c r="F124" s="40"/>
      <c r="G124" s="184" t="s">
        <v>30</v>
      </c>
      <c r="H124" s="43" t="s">
        <v>85</v>
      </c>
      <c r="I124" s="30" t="s">
        <v>357</v>
      </c>
      <c r="J124" s="119" t="s">
        <v>148</v>
      </c>
      <c r="K124" s="31" t="s">
        <v>86</v>
      </c>
      <c r="L124" s="9">
        <v>3</v>
      </c>
      <c r="M124" s="44" t="s">
        <v>309</v>
      </c>
    </row>
    <row r="125" spans="1:13" ht="16.5">
      <c r="A125" s="248"/>
      <c r="B125" s="254"/>
      <c r="C125" s="41">
        <f t="shared" si="9"/>
        <v>100012</v>
      </c>
      <c r="D125" s="250"/>
      <c r="E125" s="250"/>
      <c r="F125" s="40"/>
      <c r="G125" s="184" t="s">
        <v>30</v>
      </c>
      <c r="H125" s="43" t="s">
        <v>85</v>
      </c>
      <c r="I125" s="30" t="s">
        <v>384</v>
      </c>
      <c r="J125" s="119" t="s">
        <v>148</v>
      </c>
      <c r="K125" s="31" t="s">
        <v>86</v>
      </c>
      <c r="L125" s="9">
        <v>3</v>
      </c>
      <c r="M125" s="44" t="s">
        <v>310</v>
      </c>
    </row>
    <row r="126" spans="1:13" ht="16.5">
      <c r="A126" s="248"/>
      <c r="B126" s="254"/>
      <c r="C126" s="41">
        <f t="shared" si="9"/>
        <v>100013</v>
      </c>
      <c r="D126" s="250"/>
      <c r="E126" s="250"/>
      <c r="F126" s="17"/>
      <c r="G126" s="184" t="s">
        <v>34</v>
      </c>
      <c r="H126" s="37"/>
      <c r="I126" s="6"/>
      <c r="J126" s="118"/>
      <c r="K126" s="17" t="s">
        <v>8</v>
      </c>
      <c r="L126" s="17" t="s">
        <v>311</v>
      </c>
      <c r="M126" s="10"/>
    </row>
    <row r="127" spans="1:13" ht="16.5">
      <c r="A127" s="248"/>
      <c r="B127" s="255"/>
      <c r="C127" s="41">
        <f t="shared" si="9"/>
        <v>100014</v>
      </c>
      <c r="D127" s="251"/>
      <c r="E127" s="251"/>
      <c r="F127" s="17"/>
      <c r="G127" s="185" t="s">
        <v>36</v>
      </c>
      <c r="H127" s="35" t="s">
        <v>45</v>
      </c>
      <c r="I127" s="10" t="s">
        <v>350</v>
      </c>
      <c r="J127" s="118"/>
      <c r="K127" s="9" t="s">
        <v>38</v>
      </c>
      <c r="L127" s="9">
        <v>3</v>
      </c>
      <c r="M127" s="10" t="s">
        <v>312</v>
      </c>
    </row>
    <row r="128" spans="1:13" ht="25.5">
      <c r="A128" s="247">
        <v>10</v>
      </c>
      <c r="B128" s="253">
        <v>120000</v>
      </c>
      <c r="C128" s="18">
        <f>B128+1</f>
        <v>120001</v>
      </c>
      <c r="D128" s="249" t="str">
        <f>'辅助-模块单元解耦'!L2</f>
        <v>BE-CGS-SS-12-1.4</v>
      </c>
      <c r="E128" s="249">
        <v>3</v>
      </c>
      <c r="F128" s="17" t="s">
        <v>61</v>
      </c>
      <c r="G128" s="184" t="s">
        <v>19</v>
      </c>
      <c r="H128" s="34" t="s">
        <v>20</v>
      </c>
      <c r="I128" s="21" t="str">
        <f ca="1">CONCATENATE("洞口尺寸1100×1100mm,N=1.1kW，提升高度1.3m,洞口底部距池顶",过水孔G1底部距池顶高度,"m，双向承压，附壁式安装，单向升杆")</f>
        <v>洞口尺寸1100×1100mm,N=1.1kW，提升高度1.3m,洞口底部距池顶7.3m，双向承压，附壁式安装，单向升杆</v>
      </c>
      <c r="J128" s="119"/>
      <c r="K128" s="8" t="s">
        <v>21</v>
      </c>
      <c r="L128" s="15">
        <v>3</v>
      </c>
      <c r="M128" s="7" t="s">
        <v>303</v>
      </c>
    </row>
    <row r="129" spans="1:13" ht="25.5">
      <c r="A129" s="248"/>
      <c r="B129" s="254"/>
      <c r="C129" s="19">
        <f t="shared" ref="C129:C141" si="10">C128+1</f>
        <v>120002</v>
      </c>
      <c r="D129" s="250"/>
      <c r="E129" s="250"/>
      <c r="F129" s="17" t="s">
        <v>62</v>
      </c>
      <c r="G129" s="184" t="s">
        <v>19</v>
      </c>
      <c r="H129" s="34" t="s">
        <v>9</v>
      </c>
      <c r="I129" s="21" t="str">
        <f ca="1">CONCATENATE("渠宽B=1.5m，设备宽度1.4m，渠深",进水井深度_渠深_H,"m，安装角度α=75°，栅前水深h=1.1m，栅隙b=15mm，N=2.2kW，材质SS304")</f>
        <v>渠宽B=1.5m，设备宽度1.4m，渠深7.6m，安装角度α=75°，栅前水深h=1.1m，栅隙b=15mm，N=2.2kW，材质SS304</v>
      </c>
      <c r="J129" s="119" t="s">
        <v>143</v>
      </c>
      <c r="K129" s="8" t="s">
        <v>24</v>
      </c>
      <c r="L129" s="15">
        <v>3</v>
      </c>
      <c r="M129" s="7" t="s">
        <v>387</v>
      </c>
    </row>
    <row r="130" spans="1:13" ht="25.5">
      <c r="A130" s="248"/>
      <c r="B130" s="254"/>
      <c r="C130" s="19">
        <f t="shared" si="10"/>
        <v>120003</v>
      </c>
      <c r="D130" s="250"/>
      <c r="E130" s="250"/>
      <c r="F130" s="17" t="s">
        <v>63</v>
      </c>
      <c r="G130" s="184" t="s">
        <v>19</v>
      </c>
      <c r="H130" s="34" t="s">
        <v>26</v>
      </c>
      <c r="I130" s="21" t="s">
        <v>418</v>
      </c>
      <c r="J130" s="119" t="s">
        <v>143</v>
      </c>
      <c r="K130" s="8" t="s">
        <v>24</v>
      </c>
      <c r="L130" s="15">
        <v>1</v>
      </c>
      <c r="M130" s="7" t="s">
        <v>304</v>
      </c>
    </row>
    <row r="131" spans="1:13" ht="33">
      <c r="A131" s="248"/>
      <c r="B131" s="254"/>
      <c r="C131" s="19">
        <f t="shared" si="10"/>
        <v>120004</v>
      </c>
      <c r="D131" s="250"/>
      <c r="E131" s="250"/>
      <c r="F131" s="17" t="s">
        <v>64</v>
      </c>
      <c r="G131" s="184" t="s">
        <v>19</v>
      </c>
      <c r="H131" s="34" t="s">
        <v>28</v>
      </c>
      <c r="I131" s="7" t="s">
        <v>369</v>
      </c>
      <c r="J131" s="119" t="s">
        <v>146</v>
      </c>
      <c r="K131" s="8" t="s">
        <v>24</v>
      </c>
      <c r="L131" s="15">
        <v>1</v>
      </c>
      <c r="M131" s="7"/>
    </row>
    <row r="132" spans="1:13" ht="25.5">
      <c r="A132" s="248"/>
      <c r="B132" s="254"/>
      <c r="C132" s="19">
        <f t="shared" si="10"/>
        <v>120005</v>
      </c>
      <c r="D132" s="250"/>
      <c r="E132" s="250"/>
      <c r="F132" s="17" t="s">
        <v>65</v>
      </c>
      <c r="G132" s="184" t="s">
        <v>19</v>
      </c>
      <c r="H132" s="34" t="s">
        <v>20</v>
      </c>
      <c r="I132" s="21" t="str">
        <f ca="1">CONCATENATE("洞口尺寸1100×1100mm,N=1.1kW，提升高度1.3m,洞口底部距池顶",过水孔G2底部距池顶高度,"m，双向承压，附壁式安装，单向升杆")</f>
        <v>洞口尺寸1100×1100mm,N=1.1kW，提升高度1.3m,洞口底部距池顶7.6m，双向承压，附壁式安装，单向升杆</v>
      </c>
      <c r="J132" s="119"/>
      <c r="K132" s="8" t="s">
        <v>24</v>
      </c>
      <c r="L132" s="15">
        <v>3</v>
      </c>
      <c r="M132" s="7" t="s">
        <v>305</v>
      </c>
    </row>
    <row r="133" spans="1:13" ht="16.5">
      <c r="A133" s="248"/>
      <c r="B133" s="254"/>
      <c r="C133" s="19">
        <f t="shared" si="10"/>
        <v>120006</v>
      </c>
      <c r="D133" s="250"/>
      <c r="E133" s="250"/>
      <c r="F133" s="17"/>
      <c r="G133" s="184" t="s">
        <v>30</v>
      </c>
      <c r="H133" s="35" t="s">
        <v>31</v>
      </c>
      <c r="I133" s="22" t="s">
        <v>400</v>
      </c>
      <c r="J133" s="119" t="s">
        <v>148</v>
      </c>
      <c r="K133" s="9" t="s">
        <v>32</v>
      </c>
      <c r="L133" s="9">
        <v>2</v>
      </c>
      <c r="M133" s="32" t="s">
        <v>307</v>
      </c>
    </row>
    <row r="134" spans="1:13" ht="16.5">
      <c r="A134" s="248"/>
      <c r="B134" s="254"/>
      <c r="C134" s="19">
        <f t="shared" si="10"/>
        <v>120007</v>
      </c>
      <c r="D134" s="250"/>
      <c r="E134" s="250"/>
      <c r="F134" s="17"/>
      <c r="G134" s="184" t="s">
        <v>30</v>
      </c>
      <c r="H134" s="35" t="s">
        <v>33</v>
      </c>
      <c r="I134" s="30" t="s">
        <v>366</v>
      </c>
      <c r="J134" s="119" t="s">
        <v>148</v>
      </c>
      <c r="K134" s="9" t="s">
        <v>32</v>
      </c>
      <c r="L134" s="9">
        <v>2</v>
      </c>
      <c r="M134" s="32" t="s">
        <v>308</v>
      </c>
    </row>
    <row r="135" spans="1:13" ht="16.5">
      <c r="A135" s="248"/>
      <c r="B135" s="254"/>
      <c r="C135" s="26">
        <f t="shared" si="10"/>
        <v>120008</v>
      </c>
      <c r="D135" s="250"/>
      <c r="E135" s="250"/>
      <c r="F135" s="23"/>
      <c r="G135" s="184" t="s">
        <v>30</v>
      </c>
      <c r="H135" s="36" t="s">
        <v>78</v>
      </c>
      <c r="I135" s="30" t="s">
        <v>371</v>
      </c>
      <c r="J135" s="119" t="s">
        <v>148</v>
      </c>
      <c r="K135" s="31" t="s">
        <v>79</v>
      </c>
      <c r="L135" s="9">
        <v>1</v>
      </c>
      <c r="M135" s="10"/>
    </row>
    <row r="136" spans="1:13" ht="16.5">
      <c r="A136" s="248"/>
      <c r="B136" s="254"/>
      <c r="C136" s="26">
        <f t="shared" si="10"/>
        <v>120009</v>
      </c>
      <c r="D136" s="250"/>
      <c r="E136" s="250"/>
      <c r="F136" s="23"/>
      <c r="G136" s="184" t="s">
        <v>30</v>
      </c>
      <c r="H136" s="36" t="s">
        <v>78</v>
      </c>
      <c r="I136" s="30" t="s">
        <v>368</v>
      </c>
      <c r="J136" s="119" t="s">
        <v>148</v>
      </c>
      <c r="K136" s="31" t="s">
        <v>79</v>
      </c>
      <c r="L136" s="9">
        <v>1</v>
      </c>
      <c r="M136" s="10"/>
    </row>
    <row r="137" spans="1:13" ht="16.5">
      <c r="A137" s="248"/>
      <c r="B137" s="254"/>
      <c r="C137" s="42">
        <f t="shared" si="10"/>
        <v>120010</v>
      </c>
      <c r="D137" s="250"/>
      <c r="E137" s="250"/>
      <c r="F137" s="40"/>
      <c r="G137" s="184" t="s">
        <v>30</v>
      </c>
      <c r="H137" s="43" t="s">
        <v>85</v>
      </c>
      <c r="I137" s="30" t="s">
        <v>388</v>
      </c>
      <c r="J137" s="119" t="s">
        <v>148</v>
      </c>
      <c r="K137" s="31" t="s">
        <v>86</v>
      </c>
      <c r="L137" s="9">
        <v>4</v>
      </c>
      <c r="M137" s="44" t="s">
        <v>152</v>
      </c>
    </row>
    <row r="138" spans="1:13" ht="16.5">
      <c r="A138" s="248"/>
      <c r="B138" s="254"/>
      <c r="C138" s="42">
        <f t="shared" si="10"/>
        <v>120011</v>
      </c>
      <c r="D138" s="250"/>
      <c r="E138" s="250"/>
      <c r="F138" s="40"/>
      <c r="G138" s="184" t="s">
        <v>30</v>
      </c>
      <c r="H138" s="43" t="s">
        <v>85</v>
      </c>
      <c r="I138" s="30" t="s">
        <v>362</v>
      </c>
      <c r="J138" s="119" t="s">
        <v>148</v>
      </c>
      <c r="K138" s="31" t="s">
        <v>86</v>
      </c>
      <c r="L138" s="9">
        <v>3</v>
      </c>
      <c r="M138" s="44" t="s">
        <v>309</v>
      </c>
    </row>
    <row r="139" spans="1:13" ht="16.5">
      <c r="A139" s="248"/>
      <c r="B139" s="254"/>
      <c r="C139" s="42">
        <f t="shared" si="10"/>
        <v>120012</v>
      </c>
      <c r="D139" s="250"/>
      <c r="E139" s="250"/>
      <c r="F139" s="40"/>
      <c r="G139" s="184" t="s">
        <v>30</v>
      </c>
      <c r="H139" s="43" t="s">
        <v>85</v>
      </c>
      <c r="I139" s="30" t="s">
        <v>385</v>
      </c>
      <c r="J139" s="119" t="s">
        <v>148</v>
      </c>
      <c r="K139" s="31" t="s">
        <v>86</v>
      </c>
      <c r="L139" s="9">
        <v>3</v>
      </c>
      <c r="M139" s="44" t="s">
        <v>310</v>
      </c>
    </row>
    <row r="140" spans="1:13" ht="16.5">
      <c r="A140" s="248"/>
      <c r="B140" s="254"/>
      <c r="C140" s="42">
        <f t="shared" si="10"/>
        <v>120013</v>
      </c>
      <c r="D140" s="250"/>
      <c r="E140" s="250"/>
      <c r="F140" s="17"/>
      <c r="G140" s="184" t="s">
        <v>34</v>
      </c>
      <c r="H140" s="37"/>
      <c r="I140" s="6"/>
      <c r="J140" s="118"/>
      <c r="K140" s="17" t="s">
        <v>8</v>
      </c>
      <c r="L140" s="17" t="s">
        <v>311</v>
      </c>
      <c r="M140" s="10"/>
    </row>
    <row r="141" spans="1:13" ht="16.5">
      <c r="A141" s="248"/>
      <c r="B141" s="255"/>
      <c r="C141" s="42">
        <f t="shared" si="10"/>
        <v>120014</v>
      </c>
      <c r="D141" s="251"/>
      <c r="E141" s="251"/>
      <c r="F141" s="17"/>
      <c r="G141" s="185" t="s">
        <v>36</v>
      </c>
      <c r="H141" s="35" t="s">
        <v>45</v>
      </c>
      <c r="I141" s="10" t="s">
        <v>350</v>
      </c>
      <c r="J141" s="118"/>
      <c r="K141" s="9" t="s">
        <v>38</v>
      </c>
      <c r="L141" s="9">
        <v>3</v>
      </c>
      <c r="M141" s="10" t="s">
        <v>312</v>
      </c>
    </row>
    <row r="142" spans="1:13" ht="25.5">
      <c r="A142" s="247">
        <v>11</v>
      </c>
      <c r="B142" s="253">
        <v>140000</v>
      </c>
      <c r="C142" s="18">
        <f>B142+1</f>
        <v>140001</v>
      </c>
      <c r="D142" s="249" t="str">
        <f>'辅助-模块单元解耦'!M2</f>
        <v>BE-CGS-SS-14-1.2</v>
      </c>
      <c r="E142" s="249">
        <v>4</v>
      </c>
      <c r="F142" s="17" t="s">
        <v>66</v>
      </c>
      <c r="G142" s="184" t="s">
        <v>19</v>
      </c>
      <c r="H142" s="34" t="s">
        <v>20</v>
      </c>
      <c r="I142" s="21" t="str">
        <f ca="1">CONCATENATE("洞口尺寸1000×1000mm,N=0.75kW，提升高度1.2m,洞口底部距池顶",过水孔G1底部距池顶高度,"m，双向承压，附壁式安装，单向升杆")</f>
        <v>洞口尺寸1000×1000mm,N=0.75kW，提升高度1.2m,洞口底部距池顶7.3m，双向承压，附壁式安装，单向升杆</v>
      </c>
      <c r="J142" s="119"/>
      <c r="K142" s="8" t="s">
        <v>21</v>
      </c>
      <c r="L142" s="15">
        <v>4</v>
      </c>
      <c r="M142" s="7" t="s">
        <v>303</v>
      </c>
    </row>
    <row r="143" spans="1:13" ht="25.5">
      <c r="A143" s="248"/>
      <c r="B143" s="254"/>
      <c r="C143" s="19">
        <f t="shared" ref="C143:C155" si="11">C142+1</f>
        <v>140002</v>
      </c>
      <c r="D143" s="250"/>
      <c r="E143" s="250"/>
      <c r="F143" s="17" t="s">
        <v>67</v>
      </c>
      <c r="G143" s="184" t="s">
        <v>19</v>
      </c>
      <c r="H143" s="34" t="s">
        <v>9</v>
      </c>
      <c r="I143" s="21" t="str">
        <f ca="1">CONCATENATE("渠宽B=1.3m，设备宽度1.2m，渠深",进水井深度_渠深_H,"m，安装角度α=75°，栅前水深h=1.2m，栅隙b=15mm，N=2.2kW，材质SS304")</f>
        <v>渠宽B=1.3m，设备宽度1.2m，渠深7.6m，安装角度α=75°，栅前水深h=1.2m，栅隙b=15mm，N=2.2kW，材质SS304</v>
      </c>
      <c r="J143" s="119" t="s">
        <v>143</v>
      </c>
      <c r="K143" s="8" t="s">
        <v>24</v>
      </c>
      <c r="L143" s="15">
        <v>4</v>
      </c>
      <c r="M143" s="7" t="s">
        <v>387</v>
      </c>
    </row>
    <row r="144" spans="1:13" ht="25.5">
      <c r="A144" s="248"/>
      <c r="B144" s="254"/>
      <c r="C144" s="19">
        <f t="shared" si="11"/>
        <v>140003</v>
      </c>
      <c r="D144" s="250"/>
      <c r="E144" s="250"/>
      <c r="F144" s="17" t="s">
        <v>53</v>
      </c>
      <c r="G144" s="184" t="s">
        <v>19</v>
      </c>
      <c r="H144" s="34" t="s">
        <v>26</v>
      </c>
      <c r="I144" s="21" t="s">
        <v>372</v>
      </c>
      <c r="J144" s="119" t="s">
        <v>143</v>
      </c>
      <c r="K144" s="8" t="s">
        <v>24</v>
      </c>
      <c r="L144" s="15">
        <v>1</v>
      </c>
      <c r="M144" s="7" t="s">
        <v>304</v>
      </c>
    </row>
    <row r="145" spans="1:13" ht="33">
      <c r="A145" s="248"/>
      <c r="B145" s="254"/>
      <c r="C145" s="19">
        <f t="shared" si="11"/>
        <v>140004</v>
      </c>
      <c r="D145" s="250"/>
      <c r="E145" s="250"/>
      <c r="F145" s="17" t="s">
        <v>54</v>
      </c>
      <c r="G145" s="184" t="s">
        <v>19</v>
      </c>
      <c r="H145" s="34" t="s">
        <v>28</v>
      </c>
      <c r="I145" s="7" t="s">
        <v>369</v>
      </c>
      <c r="J145" s="119" t="s">
        <v>146</v>
      </c>
      <c r="K145" s="8" t="s">
        <v>24</v>
      </c>
      <c r="L145" s="15">
        <v>1</v>
      </c>
      <c r="M145" s="7"/>
    </row>
    <row r="146" spans="1:13" ht="25.5">
      <c r="A146" s="248"/>
      <c r="B146" s="254"/>
      <c r="C146" s="19">
        <f t="shared" si="11"/>
        <v>140005</v>
      </c>
      <c r="D146" s="250"/>
      <c r="E146" s="250"/>
      <c r="F146" s="17" t="s">
        <v>68</v>
      </c>
      <c r="G146" s="184" t="s">
        <v>19</v>
      </c>
      <c r="H146" s="34" t="s">
        <v>20</v>
      </c>
      <c r="I146" s="21" t="str">
        <f ca="1">CONCATENATE("洞口尺寸1000×1000mm,N=0.75kW，提升高度1.2m,洞口底部距池顶",过水孔G2底部距池顶高度,"m，双向承压，附壁式安装，单向升杆")</f>
        <v>洞口尺寸1000×1000mm,N=0.75kW，提升高度1.2m,洞口底部距池顶7.6m，双向承压，附壁式安装，单向升杆</v>
      </c>
      <c r="J146" s="119"/>
      <c r="K146" s="8" t="s">
        <v>24</v>
      </c>
      <c r="L146" s="15">
        <v>4</v>
      </c>
      <c r="M146" s="7" t="s">
        <v>305</v>
      </c>
    </row>
    <row r="147" spans="1:13" ht="16.5">
      <c r="A147" s="248"/>
      <c r="B147" s="254"/>
      <c r="C147" s="26">
        <f t="shared" si="11"/>
        <v>140006</v>
      </c>
      <c r="D147" s="250"/>
      <c r="E147" s="250"/>
      <c r="F147" s="17"/>
      <c r="G147" s="184" t="s">
        <v>30</v>
      </c>
      <c r="H147" s="35" t="s">
        <v>31</v>
      </c>
      <c r="I147" s="22" t="s">
        <v>400</v>
      </c>
      <c r="J147" s="119" t="s">
        <v>148</v>
      </c>
      <c r="K147" s="9" t="s">
        <v>32</v>
      </c>
      <c r="L147" s="9">
        <v>2</v>
      </c>
      <c r="M147" s="32" t="s">
        <v>307</v>
      </c>
    </row>
    <row r="148" spans="1:13" ht="16.5">
      <c r="A148" s="248"/>
      <c r="B148" s="254"/>
      <c r="C148" s="26">
        <f t="shared" si="11"/>
        <v>140007</v>
      </c>
      <c r="D148" s="250"/>
      <c r="E148" s="250"/>
      <c r="F148" s="17"/>
      <c r="G148" s="184" t="s">
        <v>30</v>
      </c>
      <c r="H148" s="35" t="s">
        <v>33</v>
      </c>
      <c r="I148" s="30" t="s">
        <v>366</v>
      </c>
      <c r="J148" s="119" t="s">
        <v>148</v>
      </c>
      <c r="K148" s="9" t="s">
        <v>32</v>
      </c>
      <c r="L148" s="9">
        <v>2</v>
      </c>
      <c r="M148" s="32" t="s">
        <v>308</v>
      </c>
    </row>
    <row r="149" spans="1:13" ht="16.5">
      <c r="A149" s="248"/>
      <c r="B149" s="254"/>
      <c r="C149" s="26">
        <f t="shared" si="11"/>
        <v>140008</v>
      </c>
      <c r="D149" s="250"/>
      <c r="E149" s="250"/>
      <c r="F149" s="23"/>
      <c r="G149" s="184" t="s">
        <v>30</v>
      </c>
      <c r="H149" s="36" t="s">
        <v>78</v>
      </c>
      <c r="I149" s="30" t="s">
        <v>371</v>
      </c>
      <c r="J149" s="119" t="s">
        <v>148</v>
      </c>
      <c r="K149" s="31" t="s">
        <v>79</v>
      </c>
      <c r="L149" s="9">
        <v>1</v>
      </c>
      <c r="M149" s="10"/>
    </row>
    <row r="150" spans="1:13" ht="16.5">
      <c r="A150" s="248"/>
      <c r="B150" s="254"/>
      <c r="C150" s="26">
        <f t="shared" si="11"/>
        <v>140009</v>
      </c>
      <c r="D150" s="250"/>
      <c r="E150" s="250"/>
      <c r="F150" s="23"/>
      <c r="G150" s="184" t="s">
        <v>30</v>
      </c>
      <c r="H150" s="36" t="s">
        <v>78</v>
      </c>
      <c r="I150" s="30" t="s">
        <v>368</v>
      </c>
      <c r="J150" s="119" t="s">
        <v>148</v>
      </c>
      <c r="K150" s="31" t="s">
        <v>79</v>
      </c>
      <c r="L150" s="9">
        <v>1</v>
      </c>
      <c r="M150" s="10"/>
    </row>
    <row r="151" spans="1:13" ht="16.5">
      <c r="A151" s="248"/>
      <c r="B151" s="254"/>
      <c r="C151" s="42">
        <f t="shared" si="11"/>
        <v>140010</v>
      </c>
      <c r="D151" s="250"/>
      <c r="E151" s="250"/>
      <c r="F151" s="40"/>
      <c r="G151" s="184" t="s">
        <v>30</v>
      </c>
      <c r="H151" s="43" t="s">
        <v>85</v>
      </c>
      <c r="I151" s="30" t="s">
        <v>389</v>
      </c>
      <c r="J151" s="119" t="s">
        <v>148</v>
      </c>
      <c r="K151" s="31" t="s">
        <v>86</v>
      </c>
      <c r="L151" s="9">
        <v>6</v>
      </c>
      <c r="M151" s="44" t="s">
        <v>152</v>
      </c>
    </row>
    <row r="152" spans="1:13" ht="16.5">
      <c r="A152" s="248"/>
      <c r="B152" s="254"/>
      <c r="C152" s="42">
        <f t="shared" si="11"/>
        <v>140011</v>
      </c>
      <c r="D152" s="250"/>
      <c r="E152" s="250"/>
      <c r="F152" s="40"/>
      <c r="G152" s="184" t="s">
        <v>30</v>
      </c>
      <c r="H152" s="43" t="s">
        <v>85</v>
      </c>
      <c r="I152" s="30" t="s">
        <v>357</v>
      </c>
      <c r="J152" s="119" t="s">
        <v>148</v>
      </c>
      <c r="K152" s="31" t="s">
        <v>86</v>
      </c>
      <c r="L152" s="9">
        <v>4</v>
      </c>
      <c r="M152" s="44" t="s">
        <v>309</v>
      </c>
    </row>
    <row r="153" spans="1:13" ht="16.5">
      <c r="A153" s="248"/>
      <c r="B153" s="254"/>
      <c r="C153" s="42">
        <f t="shared" si="11"/>
        <v>140012</v>
      </c>
      <c r="D153" s="250"/>
      <c r="E153" s="250"/>
      <c r="F153" s="40"/>
      <c r="G153" s="184" t="s">
        <v>30</v>
      </c>
      <c r="H153" s="43" t="s">
        <v>85</v>
      </c>
      <c r="I153" s="30" t="s">
        <v>384</v>
      </c>
      <c r="J153" s="119" t="s">
        <v>148</v>
      </c>
      <c r="K153" s="31" t="s">
        <v>86</v>
      </c>
      <c r="L153" s="9">
        <v>4</v>
      </c>
      <c r="M153" s="44" t="s">
        <v>310</v>
      </c>
    </row>
    <row r="154" spans="1:13" ht="16.5">
      <c r="A154" s="248"/>
      <c r="B154" s="254"/>
      <c r="C154" s="42">
        <f t="shared" si="11"/>
        <v>140013</v>
      </c>
      <c r="D154" s="250"/>
      <c r="E154" s="250"/>
      <c r="F154" s="17"/>
      <c r="G154" s="184" t="s">
        <v>34</v>
      </c>
      <c r="H154" s="37"/>
      <c r="I154" s="6"/>
      <c r="J154" s="118"/>
      <c r="K154" s="17" t="s">
        <v>8</v>
      </c>
      <c r="L154" s="17" t="s">
        <v>311</v>
      </c>
      <c r="M154" s="10"/>
    </row>
    <row r="155" spans="1:13" ht="16.5">
      <c r="A155" s="248"/>
      <c r="B155" s="255"/>
      <c r="C155" s="42">
        <f t="shared" si="11"/>
        <v>140014</v>
      </c>
      <c r="D155" s="251"/>
      <c r="E155" s="251"/>
      <c r="F155" s="17"/>
      <c r="G155" s="185" t="s">
        <v>36</v>
      </c>
      <c r="H155" s="35" t="s">
        <v>45</v>
      </c>
      <c r="I155" s="10" t="s">
        <v>350</v>
      </c>
      <c r="J155" s="118"/>
      <c r="K155" s="9" t="s">
        <v>38</v>
      </c>
      <c r="L155" s="9">
        <v>4</v>
      </c>
      <c r="M155" s="10" t="s">
        <v>312</v>
      </c>
    </row>
    <row r="156" spans="1:13" ht="25.5">
      <c r="A156" s="247">
        <v>12</v>
      </c>
      <c r="B156" s="253">
        <v>150000</v>
      </c>
      <c r="C156" s="18">
        <f>B156+1</f>
        <v>150001</v>
      </c>
      <c r="D156" s="249" t="str">
        <f>'辅助-模块单元解耦'!N2</f>
        <v>BE-CGS-SS-15-1.2</v>
      </c>
      <c r="E156" s="249">
        <v>4</v>
      </c>
      <c r="F156" s="17" t="s">
        <v>69</v>
      </c>
      <c r="G156" s="184" t="s">
        <v>19</v>
      </c>
      <c r="H156" s="34" t="s">
        <v>20</v>
      </c>
      <c r="I156" s="21" t="str">
        <f ca="1">CONCATENATE("洞口尺寸1100×1100mm,N=1.1kW，提升高度1.3m,洞口底部距池顶",过水孔G1底部距池顶高度,"m，双向承压，附壁式安装，单向升杆")</f>
        <v>洞口尺寸1100×1100mm,N=1.1kW，提升高度1.3m,洞口底部距池顶7.3m，双向承压，附壁式安装，单向升杆</v>
      </c>
      <c r="J156" s="119"/>
      <c r="K156" s="8" t="s">
        <v>21</v>
      </c>
      <c r="L156" s="15">
        <v>4</v>
      </c>
      <c r="M156" s="7" t="s">
        <v>303</v>
      </c>
    </row>
    <row r="157" spans="1:13" ht="25.5">
      <c r="A157" s="248"/>
      <c r="B157" s="254"/>
      <c r="C157" s="19">
        <f t="shared" ref="C157:C169" si="12">C156+1</f>
        <v>150002</v>
      </c>
      <c r="D157" s="250"/>
      <c r="E157" s="250"/>
      <c r="F157" s="17" t="s">
        <v>70</v>
      </c>
      <c r="G157" s="184" t="s">
        <v>19</v>
      </c>
      <c r="H157" s="34" t="s">
        <v>9</v>
      </c>
      <c r="I157" s="21" t="str">
        <f ca="1">CONCATENATE("渠宽B=1.3m，设备宽度1.2m，渠深",进水井深度_渠深_H,"m，安装角度α=75°，栅前水深h=1.3m，栅隙b=15mm，N=2.2kW，材质SS304")</f>
        <v>渠宽B=1.3m，设备宽度1.2m，渠深7.6m，安装角度α=75°，栅前水深h=1.3m，栅隙b=15mm，N=2.2kW，材质SS304</v>
      </c>
      <c r="J157" s="119" t="s">
        <v>143</v>
      </c>
      <c r="K157" s="8" t="s">
        <v>24</v>
      </c>
      <c r="L157" s="15">
        <v>4</v>
      </c>
      <c r="M157" s="7" t="s">
        <v>387</v>
      </c>
    </row>
    <row r="158" spans="1:13" ht="25.5">
      <c r="A158" s="248"/>
      <c r="B158" s="254"/>
      <c r="C158" s="19">
        <f t="shared" si="12"/>
        <v>150003</v>
      </c>
      <c r="D158" s="250"/>
      <c r="E158" s="250"/>
      <c r="F158" s="17" t="s">
        <v>58</v>
      </c>
      <c r="G158" s="184" t="s">
        <v>19</v>
      </c>
      <c r="H158" s="34" t="s">
        <v>26</v>
      </c>
      <c r="I158" s="21" t="s">
        <v>372</v>
      </c>
      <c r="J158" s="119" t="s">
        <v>143</v>
      </c>
      <c r="K158" s="8" t="s">
        <v>24</v>
      </c>
      <c r="L158" s="15">
        <v>1</v>
      </c>
      <c r="M158" s="7" t="s">
        <v>304</v>
      </c>
    </row>
    <row r="159" spans="1:13" ht="33">
      <c r="A159" s="248"/>
      <c r="B159" s="254"/>
      <c r="C159" s="19">
        <f t="shared" si="12"/>
        <v>150004</v>
      </c>
      <c r="D159" s="250"/>
      <c r="E159" s="250"/>
      <c r="F159" s="17" t="s">
        <v>59</v>
      </c>
      <c r="G159" s="184" t="s">
        <v>19</v>
      </c>
      <c r="H159" s="34" t="s">
        <v>28</v>
      </c>
      <c r="I159" s="7" t="s">
        <v>369</v>
      </c>
      <c r="J159" s="119" t="s">
        <v>146</v>
      </c>
      <c r="K159" s="8" t="s">
        <v>24</v>
      </c>
      <c r="L159" s="15">
        <v>1</v>
      </c>
      <c r="M159" s="7"/>
    </row>
    <row r="160" spans="1:13" ht="25.5">
      <c r="A160" s="248"/>
      <c r="B160" s="254"/>
      <c r="C160" s="19">
        <f t="shared" si="12"/>
        <v>150005</v>
      </c>
      <c r="D160" s="250"/>
      <c r="E160" s="250"/>
      <c r="F160" s="17" t="s">
        <v>71</v>
      </c>
      <c r="G160" s="184" t="s">
        <v>19</v>
      </c>
      <c r="H160" s="34" t="s">
        <v>20</v>
      </c>
      <c r="I160" s="21" t="str">
        <f ca="1">CONCATENATE("洞口尺寸1100×1100mm,N=1.1kW，提升高度1.3m,洞口底部距池顶",过水孔G2底部距池顶高度,"m，双向承压，附壁式安装，单向升杆")</f>
        <v>洞口尺寸1100×1100mm,N=1.1kW，提升高度1.3m,洞口底部距池顶7.6m，双向承压，附壁式安装，单向升杆</v>
      </c>
      <c r="J160" s="119"/>
      <c r="K160" s="8" t="s">
        <v>24</v>
      </c>
      <c r="L160" s="15">
        <v>4</v>
      </c>
      <c r="M160" s="7" t="s">
        <v>305</v>
      </c>
    </row>
    <row r="161" spans="1:13" ht="16.5">
      <c r="A161" s="248"/>
      <c r="B161" s="254"/>
      <c r="C161" s="26">
        <f t="shared" si="12"/>
        <v>150006</v>
      </c>
      <c r="D161" s="250"/>
      <c r="E161" s="250"/>
      <c r="F161" s="17"/>
      <c r="G161" s="184" t="s">
        <v>30</v>
      </c>
      <c r="H161" s="35" t="s">
        <v>31</v>
      </c>
      <c r="I161" s="22" t="s">
        <v>400</v>
      </c>
      <c r="J161" s="119" t="s">
        <v>148</v>
      </c>
      <c r="K161" s="9" t="s">
        <v>32</v>
      </c>
      <c r="L161" s="9">
        <v>2</v>
      </c>
      <c r="M161" s="32" t="s">
        <v>307</v>
      </c>
    </row>
    <row r="162" spans="1:13" ht="16.5">
      <c r="A162" s="248"/>
      <c r="B162" s="254"/>
      <c r="C162" s="26">
        <f t="shared" si="12"/>
        <v>150007</v>
      </c>
      <c r="D162" s="250"/>
      <c r="E162" s="250"/>
      <c r="F162" s="17"/>
      <c r="G162" s="184" t="s">
        <v>30</v>
      </c>
      <c r="H162" s="35" t="s">
        <v>33</v>
      </c>
      <c r="I162" s="22" t="s">
        <v>402</v>
      </c>
      <c r="J162" s="119" t="s">
        <v>148</v>
      </c>
      <c r="K162" s="9" t="s">
        <v>32</v>
      </c>
      <c r="L162" s="9">
        <v>2</v>
      </c>
      <c r="M162" s="32" t="s">
        <v>308</v>
      </c>
    </row>
    <row r="163" spans="1:13" ht="16.5">
      <c r="A163" s="248"/>
      <c r="B163" s="254"/>
      <c r="C163" s="26">
        <f t="shared" si="12"/>
        <v>150008</v>
      </c>
      <c r="D163" s="250"/>
      <c r="E163" s="250"/>
      <c r="F163" s="23"/>
      <c r="G163" s="184" t="s">
        <v>30</v>
      </c>
      <c r="H163" s="36" t="s">
        <v>78</v>
      </c>
      <c r="I163" s="30" t="s">
        <v>371</v>
      </c>
      <c r="J163" s="119" t="s">
        <v>148</v>
      </c>
      <c r="K163" s="31" t="s">
        <v>79</v>
      </c>
      <c r="L163" s="9">
        <v>1</v>
      </c>
      <c r="M163" s="10"/>
    </row>
    <row r="164" spans="1:13" ht="16.5">
      <c r="A164" s="248"/>
      <c r="B164" s="254"/>
      <c r="C164" s="26">
        <f t="shared" si="12"/>
        <v>150009</v>
      </c>
      <c r="D164" s="250"/>
      <c r="E164" s="250"/>
      <c r="F164" s="23"/>
      <c r="G164" s="184" t="s">
        <v>30</v>
      </c>
      <c r="H164" s="36" t="s">
        <v>78</v>
      </c>
      <c r="I164" s="30" t="s">
        <v>373</v>
      </c>
      <c r="J164" s="119" t="s">
        <v>148</v>
      </c>
      <c r="K164" s="31" t="s">
        <v>79</v>
      </c>
      <c r="L164" s="9">
        <v>1</v>
      </c>
      <c r="M164" s="10"/>
    </row>
    <row r="165" spans="1:13" ht="16.5">
      <c r="A165" s="248"/>
      <c r="B165" s="254"/>
      <c r="C165" s="42">
        <f t="shared" si="12"/>
        <v>150010</v>
      </c>
      <c r="D165" s="250"/>
      <c r="E165" s="250"/>
      <c r="F165" s="40"/>
      <c r="G165" s="184" t="s">
        <v>30</v>
      </c>
      <c r="H165" s="43" t="s">
        <v>85</v>
      </c>
      <c r="I165" s="30" t="s">
        <v>388</v>
      </c>
      <c r="J165" s="119" t="s">
        <v>148</v>
      </c>
      <c r="K165" s="31" t="s">
        <v>86</v>
      </c>
      <c r="L165" s="9">
        <v>6</v>
      </c>
      <c r="M165" s="44" t="s">
        <v>152</v>
      </c>
    </row>
    <row r="166" spans="1:13" ht="16.5">
      <c r="A166" s="248"/>
      <c r="B166" s="254"/>
      <c r="C166" s="42">
        <f t="shared" si="12"/>
        <v>150011</v>
      </c>
      <c r="D166" s="250"/>
      <c r="E166" s="250"/>
      <c r="F166" s="40"/>
      <c r="G166" s="184" t="s">
        <v>30</v>
      </c>
      <c r="H166" s="43" t="s">
        <v>85</v>
      </c>
      <c r="I166" s="30" t="s">
        <v>357</v>
      </c>
      <c r="J166" s="119" t="s">
        <v>148</v>
      </c>
      <c r="K166" s="31" t="s">
        <v>86</v>
      </c>
      <c r="L166" s="9">
        <v>4</v>
      </c>
      <c r="M166" s="44" t="s">
        <v>309</v>
      </c>
    </row>
    <row r="167" spans="1:13" ht="16.5">
      <c r="A167" s="248"/>
      <c r="B167" s="254"/>
      <c r="C167" s="42">
        <f t="shared" si="12"/>
        <v>150012</v>
      </c>
      <c r="D167" s="250"/>
      <c r="E167" s="250"/>
      <c r="F167" s="40"/>
      <c r="G167" s="184" t="s">
        <v>30</v>
      </c>
      <c r="H167" s="43" t="s">
        <v>85</v>
      </c>
      <c r="I167" s="30" t="s">
        <v>384</v>
      </c>
      <c r="J167" s="119" t="s">
        <v>148</v>
      </c>
      <c r="K167" s="31" t="s">
        <v>86</v>
      </c>
      <c r="L167" s="9">
        <v>4</v>
      </c>
      <c r="M167" s="44" t="s">
        <v>310</v>
      </c>
    </row>
    <row r="168" spans="1:13" ht="16.5">
      <c r="A168" s="248"/>
      <c r="B168" s="254"/>
      <c r="C168" s="42">
        <f t="shared" si="12"/>
        <v>150013</v>
      </c>
      <c r="D168" s="250"/>
      <c r="E168" s="250"/>
      <c r="F168" s="17"/>
      <c r="G168" s="184" t="s">
        <v>34</v>
      </c>
      <c r="H168" s="37"/>
      <c r="I168" s="6"/>
      <c r="J168" s="118"/>
      <c r="K168" s="17" t="s">
        <v>8</v>
      </c>
      <c r="L168" s="17" t="s">
        <v>311</v>
      </c>
      <c r="M168" s="10"/>
    </row>
    <row r="169" spans="1:13" ht="16.5">
      <c r="A169" s="248"/>
      <c r="B169" s="255"/>
      <c r="C169" s="42">
        <f t="shared" si="12"/>
        <v>150014</v>
      </c>
      <c r="D169" s="251"/>
      <c r="E169" s="251"/>
      <c r="F169" s="17"/>
      <c r="G169" s="185" t="s">
        <v>36</v>
      </c>
      <c r="H169" s="35" t="s">
        <v>45</v>
      </c>
      <c r="I169" s="10" t="s">
        <v>350</v>
      </c>
      <c r="J169" s="118"/>
      <c r="K169" s="9" t="s">
        <v>38</v>
      </c>
      <c r="L169" s="9">
        <v>4</v>
      </c>
      <c r="M169" s="10" t="s">
        <v>312</v>
      </c>
    </row>
    <row r="170" spans="1:13" ht="25.5">
      <c r="A170" s="247">
        <v>13</v>
      </c>
      <c r="B170" s="253">
        <v>160000</v>
      </c>
      <c r="C170" s="18">
        <f>B170+1</f>
        <v>160001</v>
      </c>
      <c r="D170" s="249" t="str">
        <f>'辅助-模块单元解耦'!O2</f>
        <v>BE-CGS-SS-16-1.2</v>
      </c>
      <c r="E170" s="249">
        <v>4</v>
      </c>
      <c r="F170" s="17" t="s">
        <v>69</v>
      </c>
      <c r="G170" s="184" t="s">
        <v>19</v>
      </c>
      <c r="H170" s="34" t="s">
        <v>20</v>
      </c>
      <c r="I170" s="21" t="str">
        <f ca="1">CONCATENATE("洞口尺寸1100×1100mm,N=1.1kW，提升高度1.3m,洞口底部距池顶",过水孔G1底部距池顶高度,"m，双向承压，附壁式安装，单向升杆")</f>
        <v>洞口尺寸1100×1100mm,N=1.1kW，提升高度1.3m,洞口底部距池顶7.3m，双向承压，附壁式安装，单向升杆</v>
      </c>
      <c r="J170" s="119"/>
      <c r="K170" s="8" t="s">
        <v>21</v>
      </c>
      <c r="L170" s="15">
        <v>4</v>
      </c>
      <c r="M170" s="7" t="s">
        <v>303</v>
      </c>
    </row>
    <row r="171" spans="1:13" ht="25.5">
      <c r="A171" s="248"/>
      <c r="B171" s="254"/>
      <c r="C171" s="19">
        <f t="shared" ref="C171:C183" si="13">C170+1</f>
        <v>160002</v>
      </c>
      <c r="D171" s="250"/>
      <c r="E171" s="250"/>
      <c r="F171" s="17" t="s">
        <v>70</v>
      </c>
      <c r="G171" s="184" t="s">
        <v>19</v>
      </c>
      <c r="H171" s="34" t="s">
        <v>9</v>
      </c>
      <c r="I171" s="21" t="str">
        <f ca="1">CONCATENATE("渠宽B=1.3m，设备宽度1.2m，渠深",进水井深度_渠深_H,"m，安装角度α=75°，栅前水深h=1.3m，栅隙b=15mm，N=2.2kW，材质SS304")</f>
        <v>渠宽B=1.3m，设备宽度1.2m，渠深7.6m，安装角度α=75°，栅前水深h=1.3m，栅隙b=15mm，N=2.2kW，材质SS304</v>
      </c>
      <c r="J171" s="119" t="s">
        <v>143</v>
      </c>
      <c r="K171" s="8" t="s">
        <v>24</v>
      </c>
      <c r="L171" s="15">
        <v>4</v>
      </c>
      <c r="M171" s="7" t="s">
        <v>387</v>
      </c>
    </row>
    <row r="172" spans="1:13" ht="25.5">
      <c r="A172" s="248"/>
      <c r="B172" s="254"/>
      <c r="C172" s="19">
        <f t="shared" si="13"/>
        <v>160003</v>
      </c>
      <c r="D172" s="250"/>
      <c r="E172" s="250"/>
      <c r="F172" s="17" t="s">
        <v>58</v>
      </c>
      <c r="G172" s="184" t="s">
        <v>19</v>
      </c>
      <c r="H172" s="34" t="s">
        <v>26</v>
      </c>
      <c r="I172" s="21" t="s">
        <v>372</v>
      </c>
      <c r="J172" s="119" t="s">
        <v>143</v>
      </c>
      <c r="K172" s="8" t="s">
        <v>24</v>
      </c>
      <c r="L172" s="15">
        <v>1</v>
      </c>
      <c r="M172" s="7" t="s">
        <v>304</v>
      </c>
    </row>
    <row r="173" spans="1:13" ht="33">
      <c r="A173" s="248"/>
      <c r="B173" s="254"/>
      <c r="C173" s="26">
        <f t="shared" si="13"/>
        <v>160004</v>
      </c>
      <c r="D173" s="250"/>
      <c r="E173" s="250"/>
      <c r="F173" s="17" t="s">
        <v>59</v>
      </c>
      <c r="G173" s="184" t="s">
        <v>19</v>
      </c>
      <c r="H173" s="34" t="s">
        <v>28</v>
      </c>
      <c r="I173" s="7" t="s">
        <v>369</v>
      </c>
      <c r="J173" s="119" t="s">
        <v>146</v>
      </c>
      <c r="K173" s="8" t="s">
        <v>24</v>
      </c>
      <c r="L173" s="15">
        <v>1</v>
      </c>
      <c r="M173" s="7"/>
    </row>
    <row r="174" spans="1:13" ht="25.5">
      <c r="A174" s="248"/>
      <c r="B174" s="254"/>
      <c r="C174" s="26">
        <f t="shared" si="13"/>
        <v>160005</v>
      </c>
      <c r="D174" s="250"/>
      <c r="E174" s="250"/>
      <c r="F174" s="17" t="s">
        <v>71</v>
      </c>
      <c r="G174" s="184" t="s">
        <v>19</v>
      </c>
      <c r="H174" s="34" t="s">
        <v>20</v>
      </c>
      <c r="I174" s="21" t="str">
        <f ca="1">CONCATENATE("洞口尺寸1100×1100mm,N=1.1kW，提升高度1.3m,洞口底部距池顶",过水孔G2底部距池顶高度,"m，双向承压，附壁式安装，单向升杆")</f>
        <v>洞口尺寸1100×1100mm,N=1.1kW，提升高度1.3m,洞口底部距池顶7.6m，双向承压，附壁式安装，单向升杆</v>
      </c>
      <c r="J174" s="119"/>
      <c r="K174" s="8" t="s">
        <v>24</v>
      </c>
      <c r="L174" s="15">
        <v>4</v>
      </c>
      <c r="M174" s="7" t="s">
        <v>305</v>
      </c>
    </row>
    <row r="175" spans="1:13" ht="16.5">
      <c r="A175" s="248"/>
      <c r="B175" s="254"/>
      <c r="C175" s="26">
        <f t="shared" si="13"/>
        <v>160006</v>
      </c>
      <c r="D175" s="250"/>
      <c r="E175" s="250"/>
      <c r="F175" s="17"/>
      <c r="G175" s="184" t="s">
        <v>30</v>
      </c>
      <c r="H175" s="35" t="s">
        <v>31</v>
      </c>
      <c r="I175" s="22" t="s">
        <v>400</v>
      </c>
      <c r="J175" s="119" t="s">
        <v>148</v>
      </c>
      <c r="K175" s="9" t="s">
        <v>32</v>
      </c>
      <c r="L175" s="9">
        <v>2</v>
      </c>
      <c r="M175" s="32" t="s">
        <v>307</v>
      </c>
    </row>
    <row r="176" spans="1:13" ht="16.5">
      <c r="A176" s="248"/>
      <c r="B176" s="254"/>
      <c r="C176" s="26">
        <f t="shared" si="13"/>
        <v>160007</v>
      </c>
      <c r="D176" s="250"/>
      <c r="E176" s="250"/>
      <c r="F176" s="17"/>
      <c r="G176" s="184" t="s">
        <v>30</v>
      </c>
      <c r="H176" s="35" t="s">
        <v>33</v>
      </c>
      <c r="I176" s="22" t="s">
        <v>402</v>
      </c>
      <c r="J176" s="119" t="s">
        <v>148</v>
      </c>
      <c r="K176" s="9" t="s">
        <v>32</v>
      </c>
      <c r="L176" s="9">
        <v>2</v>
      </c>
      <c r="M176" s="32" t="s">
        <v>308</v>
      </c>
    </row>
    <row r="177" spans="1:13" ht="16.5">
      <c r="A177" s="248"/>
      <c r="B177" s="254"/>
      <c r="C177" s="26">
        <f t="shared" si="13"/>
        <v>160008</v>
      </c>
      <c r="D177" s="250"/>
      <c r="E177" s="250"/>
      <c r="F177" s="23"/>
      <c r="G177" s="184" t="s">
        <v>30</v>
      </c>
      <c r="H177" s="36" t="s">
        <v>78</v>
      </c>
      <c r="I177" s="30" t="s">
        <v>371</v>
      </c>
      <c r="J177" s="119" t="s">
        <v>148</v>
      </c>
      <c r="K177" s="31" t="s">
        <v>79</v>
      </c>
      <c r="L177" s="9">
        <v>1</v>
      </c>
      <c r="M177" s="10"/>
    </row>
    <row r="178" spans="1:13" ht="16.5">
      <c r="A178" s="248"/>
      <c r="B178" s="254"/>
      <c r="C178" s="26">
        <f t="shared" si="13"/>
        <v>160009</v>
      </c>
      <c r="D178" s="250"/>
      <c r="E178" s="250"/>
      <c r="F178" s="23"/>
      <c r="G178" s="184" t="s">
        <v>30</v>
      </c>
      <c r="H178" s="36" t="s">
        <v>78</v>
      </c>
      <c r="I178" s="30" t="s">
        <v>373</v>
      </c>
      <c r="J178" s="119" t="s">
        <v>148</v>
      </c>
      <c r="K178" s="31" t="s">
        <v>79</v>
      </c>
      <c r="L178" s="9">
        <v>1</v>
      </c>
      <c r="M178" s="10"/>
    </row>
    <row r="179" spans="1:13" ht="16.5">
      <c r="A179" s="248"/>
      <c r="B179" s="254"/>
      <c r="C179" s="42">
        <f t="shared" si="13"/>
        <v>160010</v>
      </c>
      <c r="D179" s="250"/>
      <c r="E179" s="250"/>
      <c r="F179" s="40"/>
      <c r="G179" s="184" t="s">
        <v>30</v>
      </c>
      <c r="H179" s="43" t="s">
        <v>85</v>
      </c>
      <c r="I179" s="30" t="s">
        <v>388</v>
      </c>
      <c r="J179" s="119" t="s">
        <v>148</v>
      </c>
      <c r="K179" s="31" t="s">
        <v>86</v>
      </c>
      <c r="L179" s="9">
        <v>6</v>
      </c>
      <c r="M179" s="44" t="s">
        <v>152</v>
      </c>
    </row>
    <row r="180" spans="1:13" ht="16.5">
      <c r="A180" s="248"/>
      <c r="B180" s="254"/>
      <c r="C180" s="42">
        <f t="shared" si="13"/>
        <v>160011</v>
      </c>
      <c r="D180" s="250"/>
      <c r="E180" s="250"/>
      <c r="F180" s="40"/>
      <c r="G180" s="184" t="s">
        <v>30</v>
      </c>
      <c r="H180" s="43" t="s">
        <v>85</v>
      </c>
      <c r="I180" s="30" t="s">
        <v>357</v>
      </c>
      <c r="J180" s="119" t="s">
        <v>148</v>
      </c>
      <c r="K180" s="31" t="s">
        <v>86</v>
      </c>
      <c r="L180" s="9">
        <v>4</v>
      </c>
      <c r="M180" s="44" t="s">
        <v>309</v>
      </c>
    </row>
    <row r="181" spans="1:13" ht="16.5">
      <c r="A181" s="248"/>
      <c r="B181" s="254"/>
      <c r="C181" s="42">
        <f t="shared" si="13"/>
        <v>160012</v>
      </c>
      <c r="D181" s="250"/>
      <c r="E181" s="250"/>
      <c r="F181" s="40"/>
      <c r="G181" s="184" t="s">
        <v>30</v>
      </c>
      <c r="H181" s="43" t="s">
        <v>85</v>
      </c>
      <c r="I181" s="30" t="s">
        <v>384</v>
      </c>
      <c r="J181" s="119" t="s">
        <v>148</v>
      </c>
      <c r="K181" s="31" t="s">
        <v>86</v>
      </c>
      <c r="L181" s="9">
        <v>4</v>
      </c>
      <c r="M181" s="44" t="s">
        <v>310</v>
      </c>
    </row>
    <row r="182" spans="1:13" ht="16.5">
      <c r="A182" s="248"/>
      <c r="B182" s="254"/>
      <c r="C182" s="42">
        <f t="shared" si="13"/>
        <v>160013</v>
      </c>
      <c r="D182" s="250"/>
      <c r="E182" s="250"/>
      <c r="F182" s="17"/>
      <c r="G182" s="184" t="s">
        <v>34</v>
      </c>
      <c r="H182" s="37"/>
      <c r="I182" s="6"/>
      <c r="J182" s="118"/>
      <c r="K182" s="17" t="s">
        <v>8</v>
      </c>
      <c r="L182" s="17" t="s">
        <v>311</v>
      </c>
      <c r="M182" s="10"/>
    </row>
    <row r="183" spans="1:13" ht="16.5">
      <c r="A183" s="248"/>
      <c r="B183" s="255"/>
      <c r="C183" s="42">
        <f t="shared" si="13"/>
        <v>160014</v>
      </c>
      <c r="D183" s="251"/>
      <c r="E183" s="251"/>
      <c r="F183" s="17"/>
      <c r="G183" s="185" t="s">
        <v>36</v>
      </c>
      <c r="H183" s="35" t="s">
        <v>45</v>
      </c>
      <c r="I183" s="10" t="s">
        <v>350</v>
      </c>
      <c r="J183" s="118"/>
      <c r="K183" s="9" t="s">
        <v>38</v>
      </c>
      <c r="L183" s="9">
        <v>4</v>
      </c>
      <c r="M183" s="10" t="s">
        <v>312</v>
      </c>
    </row>
    <row r="184" spans="1:13" ht="25.5">
      <c r="A184" s="247">
        <v>14</v>
      </c>
      <c r="B184" s="253">
        <v>180000</v>
      </c>
      <c r="C184" s="18">
        <f>B184+1</f>
        <v>180001</v>
      </c>
      <c r="D184" s="249" t="str">
        <f>'辅助-模块单元解耦'!P2</f>
        <v>BE-CGS-SS-18-1.4</v>
      </c>
      <c r="E184" s="249">
        <v>4</v>
      </c>
      <c r="F184" s="17" t="s">
        <v>72</v>
      </c>
      <c r="G184" s="184" t="s">
        <v>19</v>
      </c>
      <c r="H184" s="34" t="s">
        <v>20</v>
      </c>
      <c r="I184" s="21" t="str">
        <f ca="1">CONCATENATE("洞口尺寸1200×1200mm,N=1.5kW，提升高度1.4m,洞口底部距池顶",过水孔G1底部距池顶高度,"m，双向承压，附壁式安装，单向升杆")</f>
        <v>洞口尺寸1200×1200mm,N=1.5kW，提升高度1.4m,洞口底部距池顶7.3m，双向承压，附壁式安装，单向升杆</v>
      </c>
      <c r="J184" s="119"/>
      <c r="K184" s="8" t="s">
        <v>21</v>
      </c>
      <c r="L184" s="15">
        <v>4</v>
      </c>
      <c r="M184" s="7" t="s">
        <v>303</v>
      </c>
    </row>
    <row r="185" spans="1:13" ht="25.5">
      <c r="A185" s="248"/>
      <c r="B185" s="254"/>
      <c r="C185" s="19">
        <f t="shared" ref="C185:C197" si="14">C184+1</f>
        <v>180002</v>
      </c>
      <c r="D185" s="250"/>
      <c r="E185" s="250"/>
      <c r="F185" s="17" t="s">
        <v>73</v>
      </c>
      <c r="G185" s="184" t="s">
        <v>19</v>
      </c>
      <c r="H185" s="34" t="s">
        <v>9</v>
      </c>
      <c r="I185" s="21" t="str">
        <f ca="1">CONCATENATE("渠宽B=1.5m，设备宽度1.4m，渠深",进水井深度_渠深_H,"m，安装角度α=75°，栅前水深h=1.3m，栅隙b=15mm，N=2.2kW，材质SS304")</f>
        <v>渠宽B=1.5m，设备宽度1.4m，渠深7.6m，安装角度α=75°，栅前水深h=1.3m，栅隙b=15mm，N=2.2kW，材质SS304</v>
      </c>
      <c r="J185" s="119" t="s">
        <v>143</v>
      </c>
      <c r="K185" s="8" t="s">
        <v>24</v>
      </c>
      <c r="L185" s="15">
        <v>4</v>
      </c>
      <c r="M185" s="7" t="s">
        <v>387</v>
      </c>
    </row>
    <row r="186" spans="1:13" ht="25.5">
      <c r="A186" s="248"/>
      <c r="B186" s="254"/>
      <c r="C186" s="19">
        <f t="shared" si="14"/>
        <v>180003</v>
      </c>
      <c r="D186" s="250"/>
      <c r="E186" s="250"/>
      <c r="F186" s="17" t="s">
        <v>63</v>
      </c>
      <c r="G186" s="184" t="s">
        <v>19</v>
      </c>
      <c r="H186" s="34" t="s">
        <v>26</v>
      </c>
      <c r="I186" s="21" t="s">
        <v>374</v>
      </c>
      <c r="J186" s="119" t="s">
        <v>143</v>
      </c>
      <c r="K186" s="8" t="s">
        <v>24</v>
      </c>
      <c r="L186" s="15">
        <v>1</v>
      </c>
      <c r="M186" s="7" t="s">
        <v>304</v>
      </c>
    </row>
    <row r="187" spans="1:13" ht="33">
      <c r="A187" s="248"/>
      <c r="B187" s="254"/>
      <c r="C187" s="19">
        <f t="shared" si="14"/>
        <v>180004</v>
      </c>
      <c r="D187" s="250"/>
      <c r="E187" s="250"/>
      <c r="F187" s="17" t="s">
        <v>64</v>
      </c>
      <c r="G187" s="184" t="s">
        <v>19</v>
      </c>
      <c r="H187" s="34" t="s">
        <v>28</v>
      </c>
      <c r="I187" s="7" t="s">
        <v>369</v>
      </c>
      <c r="J187" s="119" t="s">
        <v>146</v>
      </c>
      <c r="K187" s="8" t="s">
        <v>24</v>
      </c>
      <c r="L187" s="15">
        <v>1</v>
      </c>
      <c r="M187" s="7"/>
    </row>
    <row r="188" spans="1:13" ht="25.5">
      <c r="A188" s="248"/>
      <c r="B188" s="254"/>
      <c r="C188" s="19">
        <f t="shared" si="14"/>
        <v>180005</v>
      </c>
      <c r="D188" s="250"/>
      <c r="E188" s="250"/>
      <c r="F188" s="17" t="s">
        <v>74</v>
      </c>
      <c r="G188" s="184" t="s">
        <v>19</v>
      </c>
      <c r="H188" s="34" t="s">
        <v>20</v>
      </c>
      <c r="I188" s="21" t="str">
        <f ca="1">CONCATENATE("洞口尺寸1200×1200mm,N=1.5kW，提升高度1.4m,洞口底部距池顶",过水孔G2底部距池顶高度,"m，双向承压，附壁式安装，单向升杆")</f>
        <v>洞口尺寸1200×1200mm,N=1.5kW，提升高度1.4m,洞口底部距池顶7.6m，双向承压，附壁式安装，单向升杆</v>
      </c>
      <c r="J188" s="119"/>
      <c r="K188" s="8" t="s">
        <v>24</v>
      </c>
      <c r="L188" s="15">
        <v>4</v>
      </c>
      <c r="M188" s="7" t="s">
        <v>305</v>
      </c>
    </row>
    <row r="189" spans="1:13" ht="16.5">
      <c r="A189" s="248"/>
      <c r="B189" s="254"/>
      <c r="C189" s="26">
        <f t="shared" si="14"/>
        <v>180006</v>
      </c>
      <c r="D189" s="250"/>
      <c r="E189" s="250"/>
      <c r="F189" s="17"/>
      <c r="G189" s="184" t="s">
        <v>30</v>
      </c>
      <c r="H189" s="35" t="s">
        <v>31</v>
      </c>
      <c r="I189" s="22" t="s">
        <v>401</v>
      </c>
      <c r="J189" s="119" t="s">
        <v>148</v>
      </c>
      <c r="K189" s="9" t="s">
        <v>32</v>
      </c>
      <c r="L189" s="9">
        <v>2</v>
      </c>
      <c r="M189" s="32" t="s">
        <v>307</v>
      </c>
    </row>
    <row r="190" spans="1:13" ht="16.5">
      <c r="A190" s="248"/>
      <c r="B190" s="254"/>
      <c r="C190" s="26">
        <f t="shared" si="14"/>
        <v>180007</v>
      </c>
      <c r="D190" s="250"/>
      <c r="E190" s="250"/>
      <c r="F190" s="17"/>
      <c r="G190" s="184" t="s">
        <v>30</v>
      </c>
      <c r="H190" s="35" t="s">
        <v>33</v>
      </c>
      <c r="I190" s="22" t="s">
        <v>402</v>
      </c>
      <c r="J190" s="119" t="s">
        <v>148</v>
      </c>
      <c r="K190" s="9" t="s">
        <v>32</v>
      </c>
      <c r="L190" s="9">
        <v>2</v>
      </c>
      <c r="M190" s="32" t="s">
        <v>308</v>
      </c>
    </row>
    <row r="191" spans="1:13" ht="16.5">
      <c r="A191" s="248"/>
      <c r="B191" s="254"/>
      <c r="C191" s="26">
        <f t="shared" si="14"/>
        <v>180008</v>
      </c>
      <c r="D191" s="250"/>
      <c r="E191" s="250"/>
      <c r="F191" s="23"/>
      <c r="G191" s="184" t="s">
        <v>30</v>
      </c>
      <c r="H191" s="36" t="s">
        <v>78</v>
      </c>
      <c r="I191" s="30" t="s">
        <v>375</v>
      </c>
      <c r="J191" s="119" t="s">
        <v>148</v>
      </c>
      <c r="K191" s="31" t="s">
        <v>79</v>
      </c>
      <c r="L191" s="9">
        <v>1</v>
      </c>
      <c r="M191" s="10"/>
    </row>
    <row r="192" spans="1:13" ht="16.5">
      <c r="A192" s="248"/>
      <c r="B192" s="254"/>
      <c r="C192" s="26">
        <f t="shared" si="14"/>
        <v>180009</v>
      </c>
      <c r="D192" s="250"/>
      <c r="E192" s="250"/>
      <c r="F192" s="23"/>
      <c r="G192" s="184" t="s">
        <v>30</v>
      </c>
      <c r="H192" s="36" t="s">
        <v>78</v>
      </c>
      <c r="I192" s="30" t="s">
        <v>373</v>
      </c>
      <c r="J192" s="119" t="s">
        <v>148</v>
      </c>
      <c r="K192" s="31" t="s">
        <v>79</v>
      </c>
      <c r="L192" s="9">
        <v>1</v>
      </c>
      <c r="M192" s="10"/>
    </row>
    <row r="193" spans="1:13" ht="16.5">
      <c r="A193" s="248"/>
      <c r="B193" s="254"/>
      <c r="C193" s="42">
        <f t="shared" si="14"/>
        <v>180010</v>
      </c>
      <c r="D193" s="250"/>
      <c r="E193" s="250"/>
      <c r="F193" s="40"/>
      <c r="G193" s="184" t="s">
        <v>30</v>
      </c>
      <c r="H193" s="43" t="s">
        <v>85</v>
      </c>
      <c r="I193" s="30" t="s">
        <v>386</v>
      </c>
      <c r="J193" s="119" t="s">
        <v>148</v>
      </c>
      <c r="K193" s="31" t="s">
        <v>86</v>
      </c>
      <c r="L193" s="9">
        <v>6</v>
      </c>
      <c r="M193" s="44" t="s">
        <v>152</v>
      </c>
    </row>
    <row r="194" spans="1:13" ht="16.5">
      <c r="A194" s="248"/>
      <c r="B194" s="254"/>
      <c r="C194" s="42">
        <f t="shared" si="14"/>
        <v>180011</v>
      </c>
      <c r="D194" s="250"/>
      <c r="E194" s="250"/>
      <c r="F194" s="40"/>
      <c r="G194" s="184" t="s">
        <v>30</v>
      </c>
      <c r="H194" s="43" t="s">
        <v>85</v>
      </c>
      <c r="I194" s="30" t="s">
        <v>362</v>
      </c>
      <c r="J194" s="119" t="s">
        <v>148</v>
      </c>
      <c r="K194" s="31" t="s">
        <v>86</v>
      </c>
      <c r="L194" s="9">
        <v>4</v>
      </c>
      <c r="M194" s="44" t="s">
        <v>309</v>
      </c>
    </row>
    <row r="195" spans="1:13" ht="16.5">
      <c r="A195" s="248"/>
      <c r="B195" s="254"/>
      <c r="C195" s="42">
        <f t="shared" si="14"/>
        <v>180012</v>
      </c>
      <c r="D195" s="250"/>
      <c r="E195" s="250"/>
      <c r="F195" s="40"/>
      <c r="G195" s="184" t="s">
        <v>30</v>
      </c>
      <c r="H195" s="43" t="s">
        <v>85</v>
      </c>
      <c r="I195" s="30" t="s">
        <v>385</v>
      </c>
      <c r="J195" s="119" t="s">
        <v>148</v>
      </c>
      <c r="K195" s="31" t="s">
        <v>86</v>
      </c>
      <c r="L195" s="9">
        <v>4</v>
      </c>
      <c r="M195" s="44" t="s">
        <v>310</v>
      </c>
    </row>
    <row r="196" spans="1:13" ht="16.5">
      <c r="A196" s="248"/>
      <c r="B196" s="254"/>
      <c r="C196" s="42">
        <f t="shared" si="14"/>
        <v>180013</v>
      </c>
      <c r="D196" s="250"/>
      <c r="E196" s="250"/>
      <c r="F196" s="17"/>
      <c r="G196" s="184" t="s">
        <v>34</v>
      </c>
      <c r="H196" s="37"/>
      <c r="I196" s="6"/>
      <c r="J196" s="118"/>
      <c r="K196" s="9"/>
      <c r="L196" s="9"/>
      <c r="M196" s="10"/>
    </row>
    <row r="197" spans="1:13" ht="16.5">
      <c r="A197" s="248"/>
      <c r="B197" s="255"/>
      <c r="C197" s="42">
        <f t="shared" si="14"/>
        <v>180014</v>
      </c>
      <c r="D197" s="251"/>
      <c r="E197" s="251"/>
      <c r="F197" s="17"/>
      <c r="G197" s="185" t="s">
        <v>36</v>
      </c>
      <c r="H197" s="35" t="s">
        <v>45</v>
      </c>
      <c r="I197" s="10" t="s">
        <v>350</v>
      </c>
      <c r="J197" s="118"/>
      <c r="K197" s="9" t="s">
        <v>38</v>
      </c>
      <c r="L197" s="9">
        <v>4</v>
      </c>
      <c r="M197" s="10" t="s">
        <v>312</v>
      </c>
    </row>
    <row r="198" spans="1:13" ht="25.5">
      <c r="A198" s="252">
        <v>15</v>
      </c>
      <c r="B198" s="253">
        <v>200000</v>
      </c>
      <c r="C198" s="18">
        <f>B198+1</f>
        <v>200001</v>
      </c>
      <c r="D198" s="249" t="str">
        <f>'辅助-模块单元解耦'!Q2</f>
        <v>BE-CGS-SS-20-1.4</v>
      </c>
      <c r="E198" s="249">
        <v>4</v>
      </c>
      <c r="F198" s="17" t="s">
        <v>72</v>
      </c>
      <c r="G198" s="184" t="s">
        <v>19</v>
      </c>
      <c r="H198" s="34" t="s">
        <v>20</v>
      </c>
      <c r="I198" s="21" t="str">
        <f ca="1">CONCATENATE("洞口尺寸1200×1200mm,N=1.5kW，提升高度1.4m,洞口底部距池顶",过水孔G1底部距池顶高度,"m，双向承压，附壁式安装，单向升杆")</f>
        <v>洞口尺寸1200×1200mm,N=1.5kW，提升高度1.4m,洞口底部距池顶7.3m，双向承压，附壁式安装，单向升杆</v>
      </c>
      <c r="J198" s="119"/>
      <c r="K198" s="8" t="s">
        <v>21</v>
      </c>
      <c r="L198" s="15">
        <v>4</v>
      </c>
      <c r="M198" s="7" t="s">
        <v>303</v>
      </c>
    </row>
    <row r="199" spans="1:13" ht="25.5">
      <c r="A199" s="252"/>
      <c r="B199" s="254"/>
      <c r="C199" s="19">
        <f t="shared" ref="C199:C211" si="15">C198+1</f>
        <v>200002</v>
      </c>
      <c r="D199" s="250"/>
      <c r="E199" s="250"/>
      <c r="F199" s="17" t="s">
        <v>73</v>
      </c>
      <c r="G199" s="184" t="s">
        <v>19</v>
      </c>
      <c r="H199" s="34" t="s">
        <v>9</v>
      </c>
      <c r="I199" s="21" t="str">
        <f ca="1">CONCATENATE("渠宽B=1.5m，设备宽度1.4m，渠深",进水井深度_渠深_H,"m，安装角度α=75°，栅前水深h=1.4m，栅隙b=15mm，N=2.2kW，材质SS304")</f>
        <v>渠宽B=1.5m，设备宽度1.4m，渠深7.6m，安装角度α=75°，栅前水深h=1.4m，栅隙b=15mm，N=2.2kW，材质SS304</v>
      </c>
      <c r="J199" s="119" t="s">
        <v>143</v>
      </c>
      <c r="K199" s="8" t="s">
        <v>24</v>
      </c>
      <c r="L199" s="15">
        <v>4</v>
      </c>
      <c r="M199" s="7" t="s">
        <v>387</v>
      </c>
    </row>
    <row r="200" spans="1:13" ht="25.5">
      <c r="A200" s="252"/>
      <c r="B200" s="254"/>
      <c r="C200" s="19">
        <f t="shared" si="15"/>
        <v>200003</v>
      </c>
      <c r="D200" s="250"/>
      <c r="E200" s="250"/>
      <c r="F200" s="17" t="s">
        <v>63</v>
      </c>
      <c r="G200" s="184" t="s">
        <v>19</v>
      </c>
      <c r="H200" s="34" t="s">
        <v>26</v>
      </c>
      <c r="I200" s="21" t="s">
        <v>374</v>
      </c>
      <c r="J200" s="119" t="s">
        <v>143</v>
      </c>
      <c r="K200" s="8" t="s">
        <v>24</v>
      </c>
      <c r="L200" s="15">
        <v>1</v>
      </c>
      <c r="M200" s="7" t="s">
        <v>304</v>
      </c>
    </row>
    <row r="201" spans="1:13" ht="33">
      <c r="A201" s="252"/>
      <c r="B201" s="254"/>
      <c r="C201" s="26">
        <f t="shared" si="15"/>
        <v>200004</v>
      </c>
      <c r="D201" s="250"/>
      <c r="E201" s="250"/>
      <c r="F201" s="17" t="s">
        <v>64</v>
      </c>
      <c r="G201" s="184" t="s">
        <v>19</v>
      </c>
      <c r="H201" s="34" t="s">
        <v>28</v>
      </c>
      <c r="I201" s="7" t="s">
        <v>369</v>
      </c>
      <c r="J201" s="119" t="s">
        <v>146</v>
      </c>
      <c r="K201" s="8" t="s">
        <v>24</v>
      </c>
      <c r="L201" s="15">
        <v>1</v>
      </c>
      <c r="M201" s="7"/>
    </row>
    <row r="202" spans="1:13" ht="25.5">
      <c r="A202" s="252"/>
      <c r="B202" s="254"/>
      <c r="C202" s="26">
        <f t="shared" si="15"/>
        <v>200005</v>
      </c>
      <c r="D202" s="250"/>
      <c r="E202" s="250"/>
      <c r="F202" s="17" t="s">
        <v>74</v>
      </c>
      <c r="G202" s="184" t="s">
        <v>19</v>
      </c>
      <c r="H202" s="34" t="s">
        <v>20</v>
      </c>
      <c r="I202" s="7" t="str">
        <f ca="1">CONCATENATE("洞口尺寸1200×1200mm,N=1.5kW，提升高度1.4m,洞口底部距池顶",过水孔G2底部距池顶高度,"m，双向承压，附壁式安装，单向升杆")</f>
        <v>洞口尺寸1200×1200mm,N=1.5kW，提升高度1.4m,洞口底部距池顶7.6m，双向承压，附壁式安装，单向升杆</v>
      </c>
      <c r="J202" s="119"/>
      <c r="K202" s="8" t="s">
        <v>24</v>
      </c>
      <c r="L202" s="15">
        <v>4</v>
      </c>
      <c r="M202" s="7" t="s">
        <v>305</v>
      </c>
    </row>
    <row r="203" spans="1:13" ht="16.5">
      <c r="A203" s="252"/>
      <c r="B203" s="254"/>
      <c r="C203" s="26">
        <f t="shared" si="15"/>
        <v>200006</v>
      </c>
      <c r="D203" s="250"/>
      <c r="E203" s="250"/>
      <c r="F203" s="17"/>
      <c r="G203" s="184" t="s">
        <v>30</v>
      </c>
      <c r="H203" s="35" t="s">
        <v>31</v>
      </c>
      <c r="I203" s="22" t="s">
        <v>401</v>
      </c>
      <c r="J203" s="119" t="s">
        <v>148</v>
      </c>
      <c r="K203" s="9" t="s">
        <v>32</v>
      </c>
      <c r="L203" s="9">
        <v>2</v>
      </c>
      <c r="M203" s="32" t="s">
        <v>307</v>
      </c>
    </row>
    <row r="204" spans="1:13" ht="16.5">
      <c r="A204" s="252"/>
      <c r="B204" s="254"/>
      <c r="C204" s="26">
        <f t="shared" si="15"/>
        <v>200007</v>
      </c>
      <c r="D204" s="250"/>
      <c r="E204" s="250"/>
      <c r="F204" s="17"/>
      <c r="G204" s="184" t="s">
        <v>30</v>
      </c>
      <c r="H204" s="35" t="s">
        <v>33</v>
      </c>
      <c r="I204" s="22" t="s">
        <v>402</v>
      </c>
      <c r="J204" s="119" t="s">
        <v>148</v>
      </c>
      <c r="K204" s="9" t="s">
        <v>32</v>
      </c>
      <c r="L204" s="9">
        <v>2</v>
      </c>
      <c r="M204" s="32" t="s">
        <v>308</v>
      </c>
    </row>
    <row r="205" spans="1:13" ht="16.5">
      <c r="A205" s="252"/>
      <c r="B205" s="254"/>
      <c r="C205" s="26">
        <f t="shared" si="15"/>
        <v>200008</v>
      </c>
      <c r="D205" s="250"/>
      <c r="E205" s="250"/>
      <c r="F205" s="23"/>
      <c r="G205" s="184" t="s">
        <v>30</v>
      </c>
      <c r="H205" s="36" t="s">
        <v>78</v>
      </c>
      <c r="I205" s="30" t="s">
        <v>375</v>
      </c>
      <c r="J205" s="119" t="s">
        <v>148</v>
      </c>
      <c r="K205" s="31" t="s">
        <v>79</v>
      </c>
      <c r="L205" s="9">
        <v>1</v>
      </c>
      <c r="M205" s="10"/>
    </row>
    <row r="206" spans="1:13" ht="16.5">
      <c r="A206" s="252"/>
      <c r="B206" s="254"/>
      <c r="C206" s="41">
        <f t="shared" si="15"/>
        <v>200009</v>
      </c>
      <c r="D206" s="250"/>
      <c r="E206" s="250"/>
      <c r="F206" s="23"/>
      <c r="G206" s="184" t="s">
        <v>30</v>
      </c>
      <c r="H206" s="36" t="s">
        <v>78</v>
      </c>
      <c r="I206" s="30" t="s">
        <v>405</v>
      </c>
      <c r="J206" s="119" t="s">
        <v>148</v>
      </c>
      <c r="K206" s="31" t="s">
        <v>79</v>
      </c>
      <c r="L206" s="9">
        <v>1</v>
      </c>
      <c r="M206" s="10"/>
    </row>
    <row r="207" spans="1:13" ht="16.5">
      <c r="A207" s="252"/>
      <c r="B207" s="254"/>
      <c r="C207" s="41">
        <f t="shared" si="15"/>
        <v>200010</v>
      </c>
      <c r="D207" s="250"/>
      <c r="E207" s="250"/>
      <c r="F207" s="40"/>
      <c r="G207" s="184" t="s">
        <v>30</v>
      </c>
      <c r="H207" s="43" t="s">
        <v>85</v>
      </c>
      <c r="I207" s="30" t="s">
        <v>386</v>
      </c>
      <c r="J207" s="119" t="s">
        <v>148</v>
      </c>
      <c r="K207" s="31" t="s">
        <v>86</v>
      </c>
      <c r="L207" s="9">
        <v>6</v>
      </c>
      <c r="M207" s="44" t="s">
        <v>152</v>
      </c>
    </row>
    <row r="208" spans="1:13" ht="16.5">
      <c r="A208" s="252"/>
      <c r="B208" s="254"/>
      <c r="C208" s="41">
        <f t="shared" si="15"/>
        <v>200011</v>
      </c>
      <c r="D208" s="250"/>
      <c r="E208" s="250"/>
      <c r="F208" s="40"/>
      <c r="G208" s="184" t="s">
        <v>30</v>
      </c>
      <c r="H208" s="43" t="s">
        <v>85</v>
      </c>
      <c r="I208" s="30" t="s">
        <v>386</v>
      </c>
      <c r="J208" s="119" t="s">
        <v>148</v>
      </c>
      <c r="K208" s="31" t="s">
        <v>86</v>
      </c>
      <c r="L208" s="9">
        <v>4</v>
      </c>
      <c r="M208" s="44" t="s">
        <v>309</v>
      </c>
    </row>
    <row r="209" spans="1:13" ht="16.5">
      <c r="A209" s="252"/>
      <c r="B209" s="254"/>
      <c r="C209" s="41">
        <f t="shared" si="15"/>
        <v>200012</v>
      </c>
      <c r="D209" s="250"/>
      <c r="E209" s="250"/>
      <c r="F209" s="40"/>
      <c r="G209" s="184" t="s">
        <v>30</v>
      </c>
      <c r="H209" s="43" t="s">
        <v>85</v>
      </c>
      <c r="I209" s="30" t="s">
        <v>385</v>
      </c>
      <c r="J209" s="119" t="s">
        <v>148</v>
      </c>
      <c r="K209" s="31" t="s">
        <v>86</v>
      </c>
      <c r="L209" s="9">
        <v>4</v>
      </c>
      <c r="M209" s="44" t="s">
        <v>310</v>
      </c>
    </row>
    <row r="210" spans="1:13" ht="16.5">
      <c r="A210" s="252"/>
      <c r="B210" s="254"/>
      <c r="C210" s="41">
        <f t="shared" si="15"/>
        <v>200013</v>
      </c>
      <c r="D210" s="250"/>
      <c r="E210" s="250"/>
      <c r="F210" s="17"/>
      <c r="G210" s="184" t="s">
        <v>34</v>
      </c>
      <c r="H210" s="37"/>
      <c r="I210" s="6"/>
      <c r="J210" s="118"/>
      <c r="K210" s="17" t="s">
        <v>8</v>
      </c>
      <c r="L210" s="17" t="s">
        <v>311</v>
      </c>
      <c r="M210" s="10"/>
    </row>
    <row r="211" spans="1:13" ht="16.5">
      <c r="A211" s="252"/>
      <c r="B211" s="255"/>
      <c r="C211" s="41">
        <f t="shared" si="15"/>
        <v>200014</v>
      </c>
      <c r="D211" s="251"/>
      <c r="E211" s="251"/>
      <c r="F211" s="17"/>
      <c r="G211" s="185" t="s">
        <v>36</v>
      </c>
      <c r="H211" s="35" t="s">
        <v>45</v>
      </c>
      <c r="I211" s="10" t="s">
        <v>350</v>
      </c>
      <c r="J211" s="118"/>
      <c r="K211" s="9" t="s">
        <v>38</v>
      </c>
      <c r="L211" s="9">
        <v>4</v>
      </c>
      <c r="M211" s="10" t="s">
        <v>312</v>
      </c>
    </row>
  </sheetData>
  <mergeCells count="60">
    <mergeCell ref="A86:A99"/>
    <mergeCell ref="B86:B99"/>
    <mergeCell ref="D86:D99"/>
    <mergeCell ref="E86:E99"/>
    <mergeCell ref="A100:A113"/>
    <mergeCell ref="B100:B113"/>
    <mergeCell ref="D100:D113"/>
    <mergeCell ref="E100:E113"/>
    <mergeCell ref="A170:A183"/>
    <mergeCell ref="B170:B183"/>
    <mergeCell ref="D170:D183"/>
    <mergeCell ref="E170:E183"/>
    <mergeCell ref="A198:A211"/>
    <mergeCell ref="B198:B211"/>
    <mergeCell ref="D198:D211"/>
    <mergeCell ref="E198:E211"/>
    <mergeCell ref="A184:A197"/>
    <mergeCell ref="B184:B197"/>
    <mergeCell ref="D184:D197"/>
    <mergeCell ref="E184:E197"/>
    <mergeCell ref="A156:A169"/>
    <mergeCell ref="B156:B169"/>
    <mergeCell ref="D156:D169"/>
    <mergeCell ref="E156:E169"/>
    <mergeCell ref="A142:A155"/>
    <mergeCell ref="B142:B155"/>
    <mergeCell ref="D142:D155"/>
    <mergeCell ref="E142:E155"/>
    <mergeCell ref="A128:A141"/>
    <mergeCell ref="B128:B141"/>
    <mergeCell ref="D128:D141"/>
    <mergeCell ref="E128:E141"/>
    <mergeCell ref="A114:A127"/>
    <mergeCell ref="B114:B127"/>
    <mergeCell ref="D114:D127"/>
    <mergeCell ref="E114:E127"/>
    <mergeCell ref="A72:A85"/>
    <mergeCell ref="B72:B85"/>
    <mergeCell ref="D72:D85"/>
    <mergeCell ref="E72:E85"/>
    <mergeCell ref="A58:A71"/>
    <mergeCell ref="D58:D71"/>
    <mergeCell ref="E58:E71"/>
    <mergeCell ref="B58:B71"/>
    <mergeCell ref="A44:A57"/>
    <mergeCell ref="D44:D57"/>
    <mergeCell ref="E44:E57"/>
    <mergeCell ref="B44:B57"/>
    <mergeCell ref="A2:A15"/>
    <mergeCell ref="E30:E43"/>
    <mergeCell ref="D30:D43"/>
    <mergeCell ref="A30:A43"/>
    <mergeCell ref="A16:A29"/>
    <mergeCell ref="B16:B29"/>
    <mergeCell ref="B30:B43"/>
    <mergeCell ref="B2:B15"/>
    <mergeCell ref="E2:E15"/>
    <mergeCell ref="D2:D15"/>
    <mergeCell ref="D16:D29"/>
    <mergeCell ref="E16:E29"/>
  </mergeCells>
  <phoneticPr fontId="2" type="noConversion"/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97</vt:i4>
      </vt:variant>
    </vt:vector>
  </HeadingPairs>
  <TitlesOfParts>
    <vt:vector size="107" baseType="lpstr">
      <vt:lpstr>数学建模</vt:lpstr>
      <vt:lpstr>辅助-模块单元解耦</vt:lpstr>
      <vt:lpstr>辅助-型号</vt:lpstr>
      <vt:lpstr>辅助-输出功率</vt:lpstr>
      <vt:lpstr>辅助-内插法总变化系数</vt:lpstr>
      <vt:lpstr>辅助-碳钢钢管管径壁厚</vt:lpstr>
      <vt:lpstr>辅助-不锈钢管（曝气）管径壁厚</vt:lpstr>
      <vt:lpstr>辅助-PE管管径壁厚</vt:lpstr>
      <vt:lpstr>辅助-无压圆管水力计算</vt:lpstr>
      <vt:lpstr>3、设备配置清单表</vt:lpstr>
      <vt:lpstr>厂区排水进水管管径d2</vt:lpstr>
      <vt:lpstr>充满度</vt:lpstr>
      <vt:lpstr>充满角</vt:lpstr>
      <vt:lpstr>单格渠道宽度B</vt:lpstr>
      <vt:lpstr>格栅安装角度</vt:lpstr>
      <vt:lpstr>格栅顶部安装空间预留长度L4</vt:lpstr>
      <vt:lpstr>格栅后过水孔G2高</vt:lpstr>
      <vt:lpstr>格栅后过水孔G2宽</vt:lpstr>
      <vt:lpstr>格栅后预留空间实际长度L5</vt:lpstr>
      <vt:lpstr>格栅后预留空间预设长度L5’</vt:lpstr>
      <vt:lpstr>格栅机功率</vt:lpstr>
      <vt:lpstr>格栅宽度</vt:lpstr>
      <vt:lpstr>格栅类型</vt:lpstr>
      <vt:lpstr>格栅前过水孔G1高</vt:lpstr>
      <vt:lpstr>格栅前过水孔G1宽</vt:lpstr>
      <vt:lpstr>格栅渠净宽度</vt:lpstr>
      <vt:lpstr>格栅渠预留检修空间长度L2</vt:lpstr>
      <vt:lpstr>格栅水平投影长度L3</vt:lpstr>
      <vt:lpstr>管底预留预埋件安装高度h2</vt:lpstr>
      <vt:lpstr>管内水深</vt:lpstr>
      <vt:lpstr>过水断面面积</vt:lpstr>
      <vt:lpstr>过水孔G1底部距池底高度</vt:lpstr>
      <vt:lpstr>过水孔G1底部距池顶高度</vt:lpstr>
      <vt:lpstr>过水孔G2底部距池底高度</vt:lpstr>
      <vt:lpstr>过水孔G2底部距池顶高度</vt:lpstr>
      <vt:lpstr>过水渠与格栅渠隔墙厚度</vt:lpstr>
      <vt:lpstr>过水渠长L6</vt:lpstr>
      <vt:lpstr>过栅流速</vt:lpstr>
      <vt:lpstr>过栅水头损失</vt:lpstr>
      <vt:lpstr>介质类别</vt:lpstr>
      <vt:lpstr>进水管管底标高</vt:lpstr>
      <vt:lpstr>进水管管底埋深M</vt:lpstr>
      <vt:lpstr>进水井超过地面高度h1</vt:lpstr>
      <vt:lpstr>进水井宽度</vt:lpstr>
      <vt:lpstr>进水井深度_渠深_H</vt:lpstr>
      <vt:lpstr>进水井与格栅渠隔墙厚度</vt:lpstr>
      <vt:lpstr>进水井长度L1</vt:lpstr>
      <vt:lpstr>进水提升泵房集水池长</vt:lpstr>
      <vt:lpstr>流量10000</vt:lpstr>
      <vt:lpstr>流量100000</vt:lpstr>
      <vt:lpstr>流量110000</vt:lpstr>
      <vt:lpstr>流量120000</vt:lpstr>
      <vt:lpstr>流量130000</vt:lpstr>
      <vt:lpstr>流量140000</vt:lpstr>
      <vt:lpstr>流量15000</vt:lpstr>
      <vt:lpstr>流量150000</vt:lpstr>
      <vt:lpstr>流量160000</vt:lpstr>
      <vt:lpstr>流量170000</vt:lpstr>
      <vt:lpstr>流量180000</vt:lpstr>
      <vt:lpstr>流量190000</vt:lpstr>
      <vt:lpstr>流量20000</vt:lpstr>
      <vt:lpstr>流量200000</vt:lpstr>
      <vt:lpstr>流量25000</vt:lpstr>
      <vt:lpstr>流量30000</vt:lpstr>
      <vt:lpstr>流量35000</vt:lpstr>
      <vt:lpstr>流量40000</vt:lpstr>
      <vt:lpstr>流量45000</vt:lpstr>
      <vt:lpstr>流量50000</vt:lpstr>
      <vt:lpstr>流量55000</vt:lpstr>
      <vt:lpstr>流量60000</vt:lpstr>
      <vt:lpstr>流量65000</vt:lpstr>
      <vt:lpstr>流量70000</vt:lpstr>
      <vt:lpstr>流量75000</vt:lpstr>
      <vt:lpstr>流量80000</vt:lpstr>
      <vt:lpstr>流量85000</vt:lpstr>
      <vt:lpstr>流量90000</vt:lpstr>
      <vt:lpstr>流量95000</vt:lpstr>
      <vt:lpstr>每日栅渣量</vt:lpstr>
      <vt:lpstr>模块型号</vt:lpstr>
      <vt:lpstr>皮带上表面距平台高度</vt:lpstr>
      <vt:lpstr>皮带输送机功率</vt:lpstr>
      <vt:lpstr>皮带输送机宽度</vt:lpstr>
      <vt:lpstr>皮带输送机长度与格栅渠宽度偏差</vt:lpstr>
      <vt:lpstr>皮带输送长度</vt:lpstr>
      <vt:lpstr>平均日流量</vt:lpstr>
      <vt:lpstr>渠道超宽</vt:lpstr>
      <vt:lpstr>渠道隔墙厚度d</vt:lpstr>
      <vt:lpstr>渠道数量</vt:lpstr>
      <vt:lpstr>设计流量Q</vt:lpstr>
      <vt:lpstr>设计栅渣量</vt:lpstr>
      <vt:lpstr>污水总进水管管径d1</vt:lpstr>
      <vt:lpstr>型号</vt:lpstr>
      <vt:lpstr>预设总长</vt:lpstr>
      <vt:lpstr>栅后电动附壁闸门功率</vt:lpstr>
      <vt:lpstr>栅后水深</vt:lpstr>
      <vt:lpstr>栅后闸门门体超高</vt:lpstr>
      <vt:lpstr>栅后闸门提升高度</vt:lpstr>
      <vt:lpstr>栅前电动附壁闸门功率</vt:lpstr>
      <vt:lpstr>栅前工作水深</vt:lpstr>
      <vt:lpstr>栅前闸门门体超高</vt:lpstr>
      <vt:lpstr>栅前闸门提升高度</vt:lpstr>
      <vt:lpstr>栅条的间隙数n</vt:lpstr>
      <vt:lpstr>栅条间隙b</vt:lpstr>
      <vt:lpstr>栅条宽度S</vt:lpstr>
      <vt:lpstr>栅渣小车容积</vt:lpstr>
      <vt:lpstr>总变化系数Kz</vt:lpstr>
      <vt:lpstr>最终型号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吴丹晨</dc:creator>
  <cp:lastModifiedBy>Sea</cp:lastModifiedBy>
  <dcterms:created xsi:type="dcterms:W3CDTF">2015-06-05T18:19:34Z</dcterms:created>
  <dcterms:modified xsi:type="dcterms:W3CDTF">2021-09-18T06:47:37Z</dcterms:modified>
</cp:coreProperties>
</file>